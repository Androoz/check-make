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2C8958DD-1D79-4BC3-A4AF-235477853D1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cess Parameters" sheetId="1" r:id="rId1"/>
    <sheet name="Surface Roughness" sheetId="2" r:id="rId2"/>
    <sheet name="Shore Hardness" sheetId="3" r:id="rId3"/>
    <sheet name="Dimensional Erro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6" i="3" l="1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5" i="3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5" i="2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5" i="4"/>
  <c r="BG20" i="2"/>
  <c r="BG19" i="2"/>
  <c r="BG18" i="2"/>
  <c r="BG17" i="2"/>
  <c r="BG16" i="2"/>
  <c r="BG15" i="2"/>
  <c r="BG14" i="2"/>
  <c r="BG13" i="2"/>
  <c r="BG12" i="2"/>
  <c r="BG11" i="2"/>
  <c r="BG10" i="2"/>
  <c r="BG9" i="2"/>
  <c r="BG8" i="2"/>
  <c r="BG7" i="2"/>
  <c r="BG6" i="2"/>
  <c r="BG5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K5" i="2"/>
  <c r="Z5" i="2"/>
  <c r="Z20" i="2"/>
  <c r="Z19" i="2"/>
  <c r="Z18" i="2"/>
  <c r="Z17" i="2"/>
  <c r="Z16" i="2"/>
  <c r="Z15" i="2"/>
  <c r="BI15" i="2" s="1"/>
  <c r="Z14" i="2"/>
  <c r="Z13" i="2"/>
  <c r="Z12" i="2"/>
  <c r="Z11" i="2"/>
  <c r="Z10" i="2"/>
  <c r="Z9" i="2"/>
  <c r="Z8" i="2"/>
  <c r="Z7" i="2"/>
  <c r="Z6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5" i="2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5" i="4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5" i="3"/>
  <c r="AF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5" i="3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5" i="4"/>
  <c r="J11" i="4"/>
  <c r="J8" i="4"/>
  <c r="J6" i="4"/>
  <c r="J7" i="4"/>
  <c r="J9" i="4"/>
  <c r="J10" i="4"/>
  <c r="J12" i="4"/>
  <c r="J13" i="4"/>
  <c r="J14" i="4"/>
  <c r="J15" i="4"/>
  <c r="J16" i="4"/>
  <c r="J17" i="4"/>
  <c r="J18" i="4"/>
  <c r="J19" i="4"/>
  <c r="J20" i="4"/>
  <c r="J5" i="4"/>
  <c r="AO7" i="3" l="1"/>
  <c r="AO11" i="3"/>
  <c r="AO14" i="3"/>
  <c r="AO17" i="3"/>
  <c r="AO20" i="3"/>
  <c r="AO6" i="3"/>
  <c r="AO9" i="3"/>
  <c r="AO12" i="3"/>
  <c r="AO15" i="3"/>
  <c r="AO18" i="3"/>
  <c r="AO5" i="3"/>
  <c r="AO8" i="3"/>
  <c r="AO10" i="3"/>
  <c r="AO13" i="3"/>
  <c r="AO16" i="3"/>
  <c r="AO19" i="3"/>
  <c r="BI5" i="2"/>
  <c r="BI11" i="2"/>
  <c r="BI9" i="2"/>
  <c r="BI8" i="2"/>
  <c r="BI7" i="2"/>
  <c r="BI10" i="2"/>
  <c r="BI6" i="2"/>
  <c r="BI20" i="2"/>
  <c r="BI19" i="2"/>
  <c r="BI18" i="2"/>
  <c r="BI12" i="2"/>
  <c r="BI17" i="2"/>
  <c r="BI16" i="2"/>
  <c r="BI13" i="2"/>
  <c r="BI14" i="2"/>
</calcChain>
</file>

<file path=xl/sharedStrings.xml><?xml version="1.0" encoding="utf-8"?>
<sst xmlns="http://schemas.openxmlformats.org/spreadsheetml/2006/main" count="190" uniqueCount="67">
  <si>
    <t>Pratham 5.0 Industrial Grade FFF Printer</t>
  </si>
  <si>
    <t>Fixed Process Parameters</t>
  </si>
  <si>
    <t>Fixed Parameter</t>
  </si>
  <si>
    <t>Value</t>
  </si>
  <si>
    <t>Infill Type</t>
  </si>
  <si>
    <t>Rectilinear</t>
  </si>
  <si>
    <t>Nozzle Temperature</t>
  </si>
  <si>
    <t>210 °C</t>
  </si>
  <si>
    <t>Bed Temperature</t>
  </si>
  <si>
    <t>60 °C</t>
  </si>
  <si>
    <t>No. of Bottom Layers</t>
  </si>
  <si>
    <t>Process Variables</t>
  </si>
  <si>
    <t>Parameter</t>
  </si>
  <si>
    <t>Unit</t>
  </si>
  <si>
    <t>Layer Height</t>
  </si>
  <si>
    <t>mm</t>
  </si>
  <si>
    <t>Raster Angle</t>
  </si>
  <si>
    <t>°</t>
  </si>
  <si>
    <t>Printing Speed</t>
  </si>
  <si>
    <t>mm/s</t>
  </si>
  <si>
    <t>Infill Density</t>
  </si>
  <si>
    <t>%</t>
  </si>
  <si>
    <t>Levels</t>
  </si>
  <si>
    <t>Taguchi L16 Orthogonal Array</t>
  </si>
  <si>
    <t>Experiment No</t>
  </si>
  <si>
    <t>Layer height</t>
  </si>
  <si>
    <t>(mm)</t>
  </si>
  <si>
    <t>Raster Orientation</t>
  </si>
  <si>
    <t>(mm/s)</t>
  </si>
  <si>
    <t>(%)</t>
  </si>
  <si>
    <t>(°)</t>
  </si>
  <si>
    <t>Surface Roughness Data</t>
  </si>
  <si>
    <t>Reading 1</t>
  </si>
  <si>
    <t>Reading 2</t>
  </si>
  <si>
    <t>Reading 3</t>
  </si>
  <si>
    <t>Reading 4</t>
  </si>
  <si>
    <t>Reading 5</t>
  </si>
  <si>
    <t>Roughness (µm) of Top Face Perpendicular to Build Direction</t>
  </si>
  <si>
    <t>Mean</t>
  </si>
  <si>
    <t>Roughness (µm) of Side Face 1 Parallel to Build Direction</t>
  </si>
  <si>
    <t>Roughness (µm) of Side Face 2 Parallel to Build Direction</t>
  </si>
  <si>
    <t>Roughness (µm) of Side Face3 Parallel to Build Direction</t>
  </si>
  <si>
    <t>Roughness (µm) of Side Face 4 Parallel to Build Direction</t>
  </si>
  <si>
    <t>Mean Roughness (µm) of All 4 Faces Parallel to Build Direction</t>
  </si>
  <si>
    <t>Hardness (HD) of Top Face Perpendicular to Build Direction</t>
  </si>
  <si>
    <t>Hardness (HD) of Side Face 1 Parallel to Build Direction</t>
  </si>
  <si>
    <t>Hardness (HD) of Side Face 2 Parallel to Build Direction</t>
  </si>
  <si>
    <t>Hardness (HD) of Side Face3 Parallel to Build Direction</t>
  </si>
  <si>
    <t>Hardness (HD) of Side Face 4 Parallel to Build Direction</t>
  </si>
  <si>
    <t>Mean Hardness (HD) of All 4 Faces Parallel to Build Direction</t>
  </si>
  <si>
    <t>Hardness (HD) of Bottom Face Perpendcular to Build Direction</t>
  </si>
  <si>
    <t>Shore Hardness Data</t>
  </si>
  <si>
    <t>Dimensional Error Data</t>
  </si>
  <si>
    <t>Measured Length of Side of a Cube (mm)</t>
  </si>
  <si>
    <t>Mean Error (mm)</t>
  </si>
  <si>
    <t>Measured Length of Face Diagonal of a Cube (mm)</t>
  </si>
  <si>
    <t>Reading 6</t>
  </si>
  <si>
    <t>Reading 7</t>
  </si>
  <si>
    <t>Reading 8</t>
  </si>
  <si>
    <t>Reading 9</t>
  </si>
  <si>
    <t>Model of FFF Printer</t>
  </si>
  <si>
    <t>Mean  (mm)</t>
  </si>
  <si>
    <t>Build Time</t>
  </si>
  <si>
    <t>(min)</t>
  </si>
  <si>
    <t>Standard Deviation</t>
  </si>
  <si>
    <t>Standard Deviation of All 4 faces parallel to Build direction</t>
  </si>
  <si>
    <t>Standard Deviation of Hardness for All 4 Faces Parallel to Build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</si>
</sst>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3"/>
  <sheetViews>
    <sheetView topLeftCell="A37" workbookViewId="0">
      <selection activeCell="I63" sqref="I63"/>
    </sheetView>
  </sheetViews>
  <sheetFormatPr defaultRowHeight="14.4" x14ac:dyDescent="0.3"/>
  <cols>
    <col min="1" max="1" width="20.44140625" customWidth="1"/>
    <col min="2" max="2" width="13.5546875" customWidth="1"/>
    <col min="3" max="3" width="14.44140625" customWidth="1"/>
    <col min="4" max="4" width="11.5546875" customWidth="1"/>
    <col min="5" max="5" width="13.6640625" customWidth="1"/>
    <col min="6" max="6" width="11.88671875" customWidth="1"/>
  </cols>
  <sheetData>
    <row r="2" spans="1:6" x14ac:dyDescent="0.3">
      <c r="A2" s="1" t="s">
        <v>60</v>
      </c>
    </row>
    <row r="3" spans="1:6" x14ac:dyDescent="0.3">
      <c r="A3" s="1" t="s">
        <v>0</v>
      </c>
    </row>
    <row r="6" spans="1:6" x14ac:dyDescent="0.3">
      <c r="A6" s="3" t="s">
        <v>1</v>
      </c>
    </row>
    <row r="7" spans="1:6" x14ac:dyDescent="0.3">
      <c r="A7" s="22" t="s">
        <v>2</v>
      </c>
      <c r="B7" s="23" t="s">
        <v>3</v>
      </c>
    </row>
    <row r="8" spans="1:6" x14ac:dyDescent="0.3">
      <c r="A8" s="24" t="s">
        <v>4</v>
      </c>
      <c r="B8" s="25" t="s">
        <v>5</v>
      </c>
    </row>
    <row r="9" spans="1:6" x14ac:dyDescent="0.3">
      <c r="A9" s="24" t="s">
        <v>6</v>
      </c>
      <c r="B9" s="25" t="s">
        <v>7</v>
      </c>
    </row>
    <row r="10" spans="1:6" x14ac:dyDescent="0.3">
      <c r="A10" s="24" t="s">
        <v>8</v>
      </c>
      <c r="B10" s="25" t="s">
        <v>9</v>
      </c>
    </row>
    <row r="11" spans="1:6" x14ac:dyDescent="0.3">
      <c r="A11" s="24" t="s">
        <v>10</v>
      </c>
      <c r="B11" s="25">
        <v>5</v>
      </c>
    </row>
    <row r="13" spans="1:6" x14ac:dyDescent="0.3">
      <c r="A13" s="15" t="s">
        <v>11</v>
      </c>
    </row>
    <row r="14" spans="1:6" ht="15" thickBot="1" x14ac:dyDescent="0.35"/>
    <row r="15" spans="1:6" ht="15" thickBot="1" x14ac:dyDescent="0.35">
      <c r="A15" s="48" t="s">
        <v>12</v>
      </c>
      <c r="B15" s="48" t="s">
        <v>13</v>
      </c>
      <c r="C15" s="50" t="s">
        <v>22</v>
      </c>
      <c r="D15" s="51"/>
      <c r="E15" s="51"/>
      <c r="F15" s="52"/>
    </row>
    <row r="16" spans="1:6" ht="15" thickBot="1" x14ac:dyDescent="0.35">
      <c r="A16" s="49"/>
      <c r="B16" s="49"/>
      <c r="C16" s="10">
        <v>1</v>
      </c>
      <c r="D16" s="10">
        <v>2</v>
      </c>
      <c r="E16" s="10">
        <v>3</v>
      </c>
      <c r="F16" s="11">
        <v>4</v>
      </c>
    </row>
    <row r="17" spans="1:6" x14ac:dyDescent="0.3">
      <c r="A17" s="5" t="s">
        <v>14</v>
      </c>
      <c r="B17" s="8" t="s">
        <v>15</v>
      </c>
      <c r="C17" s="8">
        <v>0.08</v>
      </c>
      <c r="D17" s="8">
        <v>0.16</v>
      </c>
      <c r="E17" s="8">
        <v>0.25</v>
      </c>
      <c r="F17" s="12">
        <v>0.5</v>
      </c>
    </row>
    <row r="18" spans="1:6" x14ac:dyDescent="0.3">
      <c r="A18" s="6" t="s">
        <v>16</v>
      </c>
      <c r="B18" s="9" t="s">
        <v>17</v>
      </c>
      <c r="C18" s="9">
        <v>0</v>
      </c>
      <c r="D18" s="9">
        <v>30</v>
      </c>
      <c r="E18" s="9">
        <v>45</v>
      </c>
      <c r="F18" s="13">
        <v>60</v>
      </c>
    </row>
    <row r="19" spans="1:6" x14ac:dyDescent="0.3">
      <c r="A19" s="6" t="s">
        <v>18</v>
      </c>
      <c r="B19" s="9" t="s">
        <v>19</v>
      </c>
      <c r="C19" s="9">
        <v>30</v>
      </c>
      <c r="D19" s="9">
        <v>40</v>
      </c>
      <c r="E19" s="9">
        <v>50</v>
      </c>
      <c r="F19" s="13">
        <v>60</v>
      </c>
    </row>
    <row r="20" spans="1:6" ht="15" thickBot="1" x14ac:dyDescent="0.35">
      <c r="A20" s="4" t="s">
        <v>20</v>
      </c>
      <c r="B20" s="7" t="s">
        <v>21</v>
      </c>
      <c r="C20" s="7">
        <v>25</v>
      </c>
      <c r="D20" s="7">
        <v>50</v>
      </c>
      <c r="E20" s="7">
        <v>75</v>
      </c>
      <c r="F20" s="14">
        <v>100</v>
      </c>
    </row>
    <row r="23" spans="1:6" x14ac:dyDescent="0.3">
      <c r="A23" s="3" t="s">
        <v>23</v>
      </c>
      <c r="B23" s="1"/>
    </row>
    <row r="24" spans="1:6" ht="15" thickBot="1" x14ac:dyDescent="0.35"/>
    <row r="25" spans="1:6" ht="29.4" thickBot="1" x14ac:dyDescent="0.35">
      <c r="A25" s="48" t="s">
        <v>24</v>
      </c>
      <c r="B25" s="26" t="s">
        <v>25</v>
      </c>
      <c r="C25" s="26" t="s">
        <v>27</v>
      </c>
      <c r="D25" s="26" t="s">
        <v>18</v>
      </c>
      <c r="E25" s="27" t="s">
        <v>20</v>
      </c>
      <c r="F25" s="26" t="s">
        <v>62</v>
      </c>
    </row>
    <row r="26" spans="1:6" ht="15" thickBot="1" x14ac:dyDescent="0.35">
      <c r="A26" s="49"/>
      <c r="B26" s="20" t="s">
        <v>26</v>
      </c>
      <c r="C26" s="20" t="s">
        <v>30</v>
      </c>
      <c r="D26" s="20" t="s">
        <v>28</v>
      </c>
      <c r="E26" s="21" t="s">
        <v>29</v>
      </c>
      <c r="F26" s="42" t="s">
        <v>63</v>
      </c>
    </row>
    <row r="27" spans="1:6" x14ac:dyDescent="0.3">
      <c r="A27" s="19">
        <v>1</v>
      </c>
      <c r="B27" s="19">
        <v>0.08</v>
      </c>
      <c r="C27" s="19">
        <v>0</v>
      </c>
      <c r="D27" s="19">
        <v>30</v>
      </c>
      <c r="E27" s="16">
        <v>25</v>
      </c>
      <c r="F27" s="19">
        <v>72</v>
      </c>
    </row>
    <row r="28" spans="1:6" x14ac:dyDescent="0.3">
      <c r="A28" s="19">
        <v>2</v>
      </c>
      <c r="B28" s="19">
        <v>0.08</v>
      </c>
      <c r="C28" s="19">
        <v>30</v>
      </c>
      <c r="D28" s="19">
        <v>40</v>
      </c>
      <c r="E28" s="16">
        <v>50</v>
      </c>
      <c r="F28" s="19">
        <v>75</v>
      </c>
    </row>
    <row r="29" spans="1:6" x14ac:dyDescent="0.3">
      <c r="A29" s="19">
        <v>3</v>
      </c>
      <c r="B29" s="19">
        <v>0.08</v>
      </c>
      <c r="C29" s="19">
        <v>45</v>
      </c>
      <c r="D29" s="19">
        <v>50</v>
      </c>
      <c r="E29" s="16">
        <v>75</v>
      </c>
      <c r="F29" s="19">
        <v>74</v>
      </c>
    </row>
    <row r="30" spans="1:6" x14ac:dyDescent="0.3">
      <c r="A30" s="19">
        <v>4</v>
      </c>
      <c r="B30" s="19">
        <v>0.08</v>
      </c>
      <c r="C30" s="19">
        <v>60</v>
      </c>
      <c r="D30" s="19">
        <v>60</v>
      </c>
      <c r="E30" s="16">
        <v>100</v>
      </c>
      <c r="F30" s="19">
        <v>82</v>
      </c>
    </row>
    <row r="31" spans="1:6" x14ac:dyDescent="0.3">
      <c r="A31" s="19">
        <v>5</v>
      </c>
      <c r="B31" s="19">
        <v>0.16</v>
      </c>
      <c r="C31" s="19">
        <v>0</v>
      </c>
      <c r="D31" s="19">
        <v>40</v>
      </c>
      <c r="E31" s="16">
        <v>75</v>
      </c>
      <c r="F31" s="19">
        <v>47</v>
      </c>
    </row>
    <row r="32" spans="1:6" x14ac:dyDescent="0.3">
      <c r="A32" s="19">
        <v>6</v>
      </c>
      <c r="B32" s="19">
        <v>0.16</v>
      </c>
      <c r="C32" s="19">
        <v>30</v>
      </c>
      <c r="D32" s="19">
        <v>30</v>
      </c>
      <c r="E32" s="16">
        <v>100</v>
      </c>
      <c r="F32" s="19">
        <v>71</v>
      </c>
    </row>
    <row r="33" spans="1:6" x14ac:dyDescent="0.3">
      <c r="A33" s="19">
        <v>7</v>
      </c>
      <c r="B33" s="19">
        <v>0.16</v>
      </c>
      <c r="C33" s="19">
        <v>45</v>
      </c>
      <c r="D33" s="19">
        <v>60</v>
      </c>
      <c r="E33" s="16">
        <v>25</v>
      </c>
      <c r="F33" s="19">
        <v>20</v>
      </c>
    </row>
    <row r="34" spans="1:6" x14ac:dyDescent="0.3">
      <c r="A34" s="19">
        <v>8</v>
      </c>
      <c r="B34" s="19">
        <v>0.16</v>
      </c>
      <c r="C34" s="19">
        <v>60</v>
      </c>
      <c r="D34" s="19">
        <v>50</v>
      </c>
      <c r="E34" s="16">
        <v>50</v>
      </c>
      <c r="F34" s="19">
        <v>32</v>
      </c>
    </row>
    <row r="35" spans="1:6" x14ac:dyDescent="0.3">
      <c r="A35" s="19">
        <v>9</v>
      </c>
      <c r="B35" s="19">
        <v>0.25</v>
      </c>
      <c r="C35" s="19">
        <v>0</v>
      </c>
      <c r="D35" s="19">
        <v>50</v>
      </c>
      <c r="E35" s="16">
        <v>100</v>
      </c>
      <c r="F35" s="19">
        <v>30</v>
      </c>
    </row>
    <row r="36" spans="1:6" x14ac:dyDescent="0.3">
      <c r="A36" s="19">
        <v>10</v>
      </c>
      <c r="B36" s="19">
        <v>0.25</v>
      </c>
      <c r="C36" s="19">
        <v>30</v>
      </c>
      <c r="D36" s="19">
        <v>60</v>
      </c>
      <c r="E36" s="16">
        <v>75</v>
      </c>
      <c r="F36" s="19">
        <v>23</v>
      </c>
    </row>
    <row r="37" spans="1:6" x14ac:dyDescent="0.3">
      <c r="A37" s="19">
        <v>11</v>
      </c>
      <c r="B37" s="19">
        <v>0.25</v>
      </c>
      <c r="C37" s="19">
        <v>45</v>
      </c>
      <c r="D37" s="19">
        <v>30</v>
      </c>
      <c r="E37" s="16">
        <v>50</v>
      </c>
      <c r="F37" s="19">
        <v>32</v>
      </c>
    </row>
    <row r="38" spans="1:6" x14ac:dyDescent="0.3">
      <c r="A38" s="19">
        <v>12</v>
      </c>
      <c r="B38" s="19">
        <v>0.25</v>
      </c>
      <c r="C38" s="19">
        <v>60</v>
      </c>
      <c r="D38" s="19">
        <v>40</v>
      </c>
      <c r="E38" s="16">
        <v>25</v>
      </c>
      <c r="F38" s="19">
        <v>20</v>
      </c>
    </row>
    <row r="39" spans="1:6" x14ac:dyDescent="0.3">
      <c r="A39" s="19">
        <v>13</v>
      </c>
      <c r="B39" s="19">
        <v>0.5</v>
      </c>
      <c r="C39" s="19">
        <v>0</v>
      </c>
      <c r="D39" s="19">
        <v>60</v>
      </c>
      <c r="E39" s="16">
        <v>50</v>
      </c>
      <c r="F39" s="19">
        <v>10</v>
      </c>
    </row>
    <row r="40" spans="1:6" x14ac:dyDescent="0.3">
      <c r="A40" s="19">
        <v>14</v>
      </c>
      <c r="B40" s="19">
        <v>0.5</v>
      </c>
      <c r="C40" s="19">
        <v>30</v>
      </c>
      <c r="D40" s="19">
        <v>50</v>
      </c>
      <c r="E40" s="16">
        <v>25</v>
      </c>
      <c r="F40" s="19">
        <v>9</v>
      </c>
    </row>
    <row r="41" spans="1:6" x14ac:dyDescent="0.3">
      <c r="A41" s="19">
        <v>15</v>
      </c>
      <c r="B41" s="19">
        <v>0.5</v>
      </c>
      <c r="C41" s="19">
        <v>45</v>
      </c>
      <c r="D41" s="19">
        <v>40</v>
      </c>
      <c r="E41" s="16">
        <v>100</v>
      </c>
      <c r="F41" s="19">
        <v>18</v>
      </c>
    </row>
    <row r="42" spans="1:6" ht="15" thickBot="1" x14ac:dyDescent="0.35">
      <c r="A42" s="18">
        <v>16</v>
      </c>
      <c r="B42" s="18">
        <v>0.5</v>
      </c>
      <c r="C42" s="18">
        <v>60</v>
      </c>
      <c r="D42" s="18">
        <v>30</v>
      </c>
      <c r="E42" s="17">
        <v>75</v>
      </c>
      <c r="F42" s="18">
        <v>20</v>
      </c>
    </row>
    <row r="43" spans="1:6" x14ac:dyDescent="0.3">
      <c r="A43" s="2"/>
      <c r="B43" s="2"/>
      <c r="C43" s="2"/>
      <c r="D43" s="2"/>
      <c r="E43" s="2"/>
    </row>
  </sheetData>
  <mergeCells count="4">
    <mergeCell ref="A15:A16"/>
    <mergeCell ref="B15:B16"/>
    <mergeCell ref="C15:F15"/>
    <mergeCell ref="A25:A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20"/>
  <sheetViews>
    <sheetView topLeftCell="AM1" zoomScale="68" zoomScaleNormal="68" workbookViewId="0">
      <selection activeCell="AW1" sqref="AW1"/>
    </sheetView>
  </sheetViews>
  <sheetFormatPr defaultRowHeight="14.4" x14ac:dyDescent="0.3"/>
  <cols>
    <col min="1" max="1" width="22.44140625" customWidth="1"/>
    <col min="2" max="2" width="10.6640625" bestFit="1" customWidth="1"/>
    <col min="3" max="3" width="13.88671875" bestFit="1" customWidth="1"/>
    <col min="4" max="4" width="10.33203125" bestFit="1" customWidth="1"/>
    <col min="5" max="5" width="10.5546875" bestFit="1" customWidth="1"/>
    <col min="6" max="6" width="11.88671875" bestFit="1" customWidth="1"/>
    <col min="7" max="14" width="12.33203125" bestFit="1" customWidth="1"/>
    <col min="15" max="15" width="10.77734375" customWidth="1"/>
    <col min="16" max="16" width="12.109375" customWidth="1"/>
    <col min="17" max="17" width="11.88671875" bestFit="1" customWidth="1"/>
    <col min="18" max="25" width="12.33203125" bestFit="1" customWidth="1"/>
    <col min="26" max="26" width="7.6640625" bestFit="1" customWidth="1"/>
    <col min="27" max="27" width="10.88671875" customWidth="1"/>
    <col min="28" max="28" width="11.88671875" bestFit="1" customWidth="1"/>
    <col min="29" max="36" width="12.33203125" bestFit="1" customWidth="1"/>
    <col min="37" max="37" width="7.6640625" bestFit="1" customWidth="1"/>
    <col min="38" max="38" width="10" customWidth="1"/>
    <col min="39" max="39" width="11.88671875" bestFit="1" customWidth="1"/>
    <col min="40" max="47" width="12.33203125" bestFit="1" customWidth="1"/>
    <col min="48" max="48" width="7.6640625" bestFit="1" customWidth="1"/>
    <col min="49" max="49" width="12.77734375" customWidth="1"/>
    <col min="50" max="50" width="11.88671875" bestFit="1" customWidth="1"/>
    <col min="51" max="58" width="12.33203125" bestFit="1" customWidth="1"/>
    <col min="59" max="59" width="7.6640625" bestFit="1" customWidth="1"/>
    <col min="60" max="60" width="15" customWidth="1"/>
    <col min="61" max="61" width="26" bestFit="1" customWidth="1"/>
    <col min="62" max="62" width="21.44140625" style="2" customWidth="1"/>
  </cols>
  <sheetData>
    <row r="1" spans="1:66" x14ac:dyDescent="0.3">
      <c r="A1" s="3" t="s">
        <v>31</v>
      </c>
    </row>
    <row r="3" spans="1:66" ht="45.75" customHeight="1" x14ac:dyDescent="0.3">
      <c r="A3" s="44" t="s">
        <v>24</v>
      </c>
      <c r="B3" s="40" t="s">
        <v>25</v>
      </c>
      <c r="C3" s="40" t="s">
        <v>27</v>
      </c>
      <c r="D3" s="40" t="s">
        <v>18</v>
      </c>
      <c r="E3" s="40" t="s">
        <v>20</v>
      </c>
      <c r="F3" s="45" t="s">
        <v>37</v>
      </c>
      <c r="G3" s="46"/>
      <c r="H3" s="46"/>
      <c r="I3" s="46"/>
      <c r="J3" s="46"/>
      <c r="K3" s="46"/>
      <c r="L3" s="46"/>
      <c r="M3" s="46"/>
      <c r="N3" s="46"/>
      <c r="O3" s="46"/>
      <c r="P3" s="47"/>
      <c r="Q3" s="45" t="s">
        <v>39</v>
      </c>
      <c r="R3" s="46"/>
      <c r="S3" s="46"/>
      <c r="T3" s="46"/>
      <c r="U3" s="46"/>
      <c r="V3" s="46"/>
      <c r="W3" s="46"/>
      <c r="X3" s="46"/>
      <c r="Y3" s="46"/>
      <c r="Z3" s="46"/>
      <c r="AA3" s="47"/>
      <c r="AB3" s="45" t="s">
        <v>40</v>
      </c>
      <c r="AC3" s="46"/>
      <c r="AD3" s="46"/>
      <c r="AE3" s="46"/>
      <c r="AF3" s="46"/>
      <c r="AG3" s="46"/>
      <c r="AH3" s="46"/>
      <c r="AI3" s="46"/>
      <c r="AJ3" s="46"/>
      <c r="AK3" s="46"/>
      <c r="AL3" s="47"/>
      <c r="AM3" s="45" t="s">
        <v>41</v>
      </c>
      <c r="AN3" s="46"/>
      <c r="AO3" s="46"/>
      <c r="AP3" s="46"/>
      <c r="AQ3" s="46"/>
      <c r="AR3" s="46"/>
      <c r="AS3" s="46"/>
      <c r="AT3" s="46"/>
      <c r="AU3" s="46"/>
      <c r="AV3" s="46"/>
      <c r="AW3" s="47"/>
      <c r="AX3" s="45" t="s">
        <v>42</v>
      </c>
      <c r="AY3" s="46"/>
      <c r="AZ3" s="46"/>
      <c r="BA3" s="46"/>
      <c r="BB3" s="46"/>
      <c r="BC3" s="46"/>
      <c r="BD3" s="46"/>
      <c r="BE3" s="46"/>
      <c r="BF3" s="46"/>
      <c r="BG3" s="46"/>
      <c r="BH3" s="47"/>
      <c r="BI3" s="43" t="s">
        <v>43</v>
      </c>
      <c r="BJ3" s="43" t="s">
        <v>65</v>
      </c>
      <c r="BK3" s="28"/>
      <c r="BL3" s="28"/>
      <c r="BM3" s="28"/>
      <c r="BN3" s="28"/>
    </row>
    <row r="4" spans="1:66" ht="28.8" x14ac:dyDescent="0.3">
      <c r="A4" s="44"/>
      <c r="B4" s="40" t="s">
        <v>26</v>
      </c>
      <c r="C4" s="40" t="s">
        <v>30</v>
      </c>
      <c r="D4" s="40" t="s">
        <v>28</v>
      </c>
      <c r="E4" s="40" t="s">
        <v>29</v>
      </c>
      <c r="F4" s="40" t="s">
        <v>32</v>
      </c>
      <c r="G4" s="40" t="s">
        <v>33</v>
      </c>
      <c r="H4" s="40" t="s">
        <v>34</v>
      </c>
      <c r="I4" s="40" t="s">
        <v>35</v>
      </c>
      <c r="J4" s="40" t="s">
        <v>36</v>
      </c>
      <c r="K4" s="40" t="s">
        <v>56</v>
      </c>
      <c r="L4" s="40" t="s">
        <v>57</v>
      </c>
      <c r="M4" s="40" t="s">
        <v>58</v>
      </c>
      <c r="N4" s="40" t="s">
        <v>59</v>
      </c>
      <c r="O4" s="40" t="s">
        <v>38</v>
      </c>
      <c r="P4" s="40" t="s">
        <v>64</v>
      </c>
      <c r="Q4" s="40" t="s">
        <v>32</v>
      </c>
      <c r="R4" s="40" t="s">
        <v>33</v>
      </c>
      <c r="S4" s="40" t="s">
        <v>34</v>
      </c>
      <c r="T4" s="40" t="s">
        <v>35</v>
      </c>
      <c r="U4" s="40" t="s">
        <v>36</v>
      </c>
      <c r="V4" s="40" t="s">
        <v>56</v>
      </c>
      <c r="W4" s="40" t="s">
        <v>57</v>
      </c>
      <c r="X4" s="40" t="s">
        <v>58</v>
      </c>
      <c r="Y4" s="40" t="s">
        <v>59</v>
      </c>
      <c r="Z4" s="40" t="s">
        <v>38</v>
      </c>
      <c r="AA4" s="40" t="s">
        <v>64</v>
      </c>
      <c r="AB4" s="40" t="s">
        <v>32</v>
      </c>
      <c r="AC4" s="40" t="s">
        <v>33</v>
      </c>
      <c r="AD4" s="40" t="s">
        <v>34</v>
      </c>
      <c r="AE4" s="40" t="s">
        <v>35</v>
      </c>
      <c r="AF4" s="40" t="s">
        <v>36</v>
      </c>
      <c r="AG4" s="40" t="s">
        <v>56</v>
      </c>
      <c r="AH4" s="40" t="s">
        <v>57</v>
      </c>
      <c r="AI4" s="40" t="s">
        <v>58</v>
      </c>
      <c r="AJ4" s="40" t="s">
        <v>59</v>
      </c>
      <c r="AK4" s="40" t="s">
        <v>38</v>
      </c>
      <c r="AL4" s="40" t="s">
        <v>64</v>
      </c>
      <c r="AM4" s="40" t="s">
        <v>32</v>
      </c>
      <c r="AN4" s="40" t="s">
        <v>33</v>
      </c>
      <c r="AO4" s="40" t="s">
        <v>34</v>
      </c>
      <c r="AP4" s="40" t="s">
        <v>35</v>
      </c>
      <c r="AQ4" s="40" t="s">
        <v>36</v>
      </c>
      <c r="AR4" s="40" t="s">
        <v>56</v>
      </c>
      <c r="AS4" s="40" t="s">
        <v>57</v>
      </c>
      <c r="AT4" s="40" t="s">
        <v>58</v>
      </c>
      <c r="AU4" s="40" t="s">
        <v>59</v>
      </c>
      <c r="AV4" s="40" t="s">
        <v>38</v>
      </c>
      <c r="AW4" s="40" t="s">
        <v>64</v>
      </c>
      <c r="AX4" s="40" t="s">
        <v>32</v>
      </c>
      <c r="AY4" s="40" t="s">
        <v>33</v>
      </c>
      <c r="AZ4" s="40" t="s">
        <v>34</v>
      </c>
      <c r="BA4" s="40" t="s">
        <v>35</v>
      </c>
      <c r="BB4" s="40" t="s">
        <v>36</v>
      </c>
      <c r="BC4" s="40" t="s">
        <v>56</v>
      </c>
      <c r="BD4" s="40" t="s">
        <v>57</v>
      </c>
      <c r="BE4" s="40" t="s">
        <v>58</v>
      </c>
      <c r="BF4" s="40" t="s">
        <v>59</v>
      </c>
      <c r="BG4" s="40" t="s">
        <v>38</v>
      </c>
      <c r="BH4" s="40" t="s">
        <v>64</v>
      </c>
      <c r="BI4" s="43"/>
      <c r="BJ4" s="43"/>
    </row>
    <row r="5" spans="1:66" x14ac:dyDescent="0.3">
      <c r="A5" s="39">
        <v>1</v>
      </c>
      <c r="B5" s="29">
        <v>0.08</v>
      </c>
      <c r="C5" s="29">
        <v>0</v>
      </c>
      <c r="D5" s="29">
        <v>30</v>
      </c>
      <c r="E5" s="34">
        <v>25</v>
      </c>
      <c r="F5" s="31">
        <v>1.407</v>
      </c>
      <c r="G5" s="31">
        <v>2.7269999999999999</v>
      </c>
      <c r="H5" s="31">
        <v>1.67</v>
      </c>
      <c r="I5" s="31">
        <v>1.8540000000000001</v>
      </c>
      <c r="J5" s="31">
        <v>2.1059999999999999</v>
      </c>
      <c r="K5" s="31">
        <v>1.397</v>
      </c>
      <c r="L5" s="31">
        <v>0.66800000000000004</v>
      </c>
      <c r="M5" s="31">
        <v>1.133</v>
      </c>
      <c r="N5" s="31">
        <v>2.8130000000000002</v>
      </c>
      <c r="O5" s="41">
        <f t="shared" ref="O5:O20" si="0">AVERAGE(F5:N5)</f>
        <v>1.7527777777777778</v>
      </c>
      <c r="P5" s="41">
        <f>_xlfn.STDEV.P(F5:N5)</f>
        <v>0.66850177059148486</v>
      </c>
      <c r="Q5" s="31">
        <v>5.2210000000000001</v>
      </c>
      <c r="R5" s="31">
        <v>4.9989999999999997</v>
      </c>
      <c r="S5" s="31">
        <v>6.06</v>
      </c>
      <c r="T5" s="31">
        <v>2.4790000000000001</v>
      </c>
      <c r="U5" s="31">
        <v>9.0609999999999999</v>
      </c>
      <c r="V5" s="31">
        <v>5.6790000000000003</v>
      </c>
      <c r="W5" s="31">
        <v>4.9160000000000004</v>
      </c>
      <c r="X5" s="31">
        <v>1.599</v>
      </c>
      <c r="Y5" s="31">
        <v>1.276</v>
      </c>
      <c r="Z5" s="41">
        <f>AVERAGE(Q5:Y5)</f>
        <v>4.5877777777777773</v>
      </c>
      <c r="AA5" s="41">
        <f>_xlfn.STDEV.P(Q5:Y5)</f>
        <v>2.3188439062878734</v>
      </c>
      <c r="AB5" s="31">
        <v>5.9379999999999997</v>
      </c>
      <c r="AC5" s="31">
        <v>5.9290000000000003</v>
      </c>
      <c r="AD5" s="31">
        <v>10.173</v>
      </c>
      <c r="AE5" s="31">
        <v>0.874</v>
      </c>
      <c r="AF5" s="31">
        <v>3.9750000000000001</v>
      </c>
      <c r="AG5" s="31">
        <v>6.242</v>
      </c>
      <c r="AH5" s="31">
        <v>4.859</v>
      </c>
      <c r="AI5" s="31">
        <v>1.5580000000000001</v>
      </c>
      <c r="AJ5" s="31">
        <v>0.76300000000000001</v>
      </c>
      <c r="AK5" s="41">
        <f>AVERAGE(AB5:AJ5)</f>
        <v>4.4790000000000001</v>
      </c>
      <c r="AL5" s="41">
        <f>_xlfn.STDEV.P(AB5:AJ5)</f>
        <v>2.8962873552954727</v>
      </c>
      <c r="AM5" s="31">
        <v>6.18</v>
      </c>
      <c r="AN5" s="31">
        <v>5</v>
      </c>
      <c r="AO5" s="31">
        <v>7.0640000000000001</v>
      </c>
      <c r="AP5" s="31">
        <v>4.07</v>
      </c>
      <c r="AQ5" s="31">
        <v>5.2460000000000004</v>
      </c>
      <c r="AR5" s="31">
        <v>5.65</v>
      </c>
      <c r="AS5" s="31">
        <v>4.8490000000000002</v>
      </c>
      <c r="AT5" s="31">
        <v>1.571</v>
      </c>
      <c r="AU5" s="31">
        <v>1.4379999999999999</v>
      </c>
      <c r="AV5" s="41">
        <f>AVERAGE(AM5:AU5)</f>
        <v>4.5631111111111107</v>
      </c>
      <c r="AW5" s="41">
        <f>_xlfn.STDEV.P(AM5:AU5)</f>
        <v>1.8181569083029894</v>
      </c>
      <c r="AX5" s="31">
        <v>5.6120000000000001</v>
      </c>
      <c r="AY5" s="31">
        <v>5.4039999999999999</v>
      </c>
      <c r="AZ5" s="31">
        <v>5.7809999999999997</v>
      </c>
      <c r="BA5" s="31">
        <v>1.8640000000000001</v>
      </c>
      <c r="BB5" s="31">
        <v>6.024</v>
      </c>
      <c r="BC5" s="31">
        <v>6.4429999999999996</v>
      </c>
      <c r="BD5" s="31">
        <v>6.524</v>
      </c>
      <c r="BE5" s="31">
        <v>1.92</v>
      </c>
      <c r="BF5" s="31">
        <v>2.31</v>
      </c>
      <c r="BG5" s="41">
        <f>AVERAGE(AX5:BF5)</f>
        <v>4.6535555555555561</v>
      </c>
      <c r="BH5" s="41">
        <f>_xlfn.STDEV.P(AX5:BF5)</f>
        <v>1.8879119630551908</v>
      </c>
      <c r="BI5" s="38">
        <f>AVERAGE(AK5,Z5,AV5,BG5)</f>
        <v>4.5708611111111104</v>
      </c>
      <c r="BJ5" s="29">
        <f>_xlfn.STDEV.P(Q5:Y5,AB5:AJ5,AM5:AU5,AX5:BF5)</f>
        <v>2.2721711368544222</v>
      </c>
    </row>
    <row r="6" spans="1:66" x14ac:dyDescent="0.3">
      <c r="A6" s="39">
        <v>2</v>
      </c>
      <c r="B6" s="29">
        <v>0.08</v>
      </c>
      <c r="C6" s="29">
        <v>30</v>
      </c>
      <c r="D6" s="29">
        <v>40</v>
      </c>
      <c r="E6" s="34">
        <v>50</v>
      </c>
      <c r="F6" s="31">
        <v>1.722</v>
      </c>
      <c r="G6" s="31">
        <v>0.42699999999999999</v>
      </c>
      <c r="H6" s="31">
        <v>0.90200000000000002</v>
      </c>
      <c r="I6" s="31">
        <v>0.66900000000000004</v>
      </c>
      <c r="J6" s="31">
        <v>0.78</v>
      </c>
      <c r="K6" s="31">
        <v>0.52900000000000003</v>
      </c>
      <c r="L6" s="31">
        <v>0.96799999999999997</v>
      </c>
      <c r="M6" s="31">
        <v>1.3340000000000001</v>
      </c>
      <c r="N6" s="31">
        <v>1.411</v>
      </c>
      <c r="O6" s="41">
        <f t="shared" si="0"/>
        <v>0.97133333333333327</v>
      </c>
      <c r="P6" s="41">
        <f t="shared" ref="P6:P20" si="1">_xlfn.STDEV.P(F6:N6)</f>
        <v>0.41003035118011599</v>
      </c>
      <c r="Q6" s="31">
        <v>5.2359999999999998</v>
      </c>
      <c r="R6" s="31">
        <v>5.2519999999999998</v>
      </c>
      <c r="S6" s="31">
        <v>6.4950000000000001</v>
      </c>
      <c r="T6" s="31">
        <v>1.5609999999999999</v>
      </c>
      <c r="U6" s="31">
        <v>4.5830000000000002</v>
      </c>
      <c r="V6" s="31">
        <v>3.8450000000000002</v>
      </c>
      <c r="W6" s="31">
        <v>4.1769999999999996</v>
      </c>
      <c r="X6" s="31">
        <v>0.99</v>
      </c>
      <c r="Y6" s="31">
        <v>1.597</v>
      </c>
      <c r="Z6" s="41">
        <f t="shared" ref="Z6:Z20" si="2">AVERAGE(Q6:Y6)</f>
        <v>3.7484444444444449</v>
      </c>
      <c r="AA6" s="41">
        <f t="shared" ref="AA6:AA20" si="3">_xlfn.STDEV.P(Q6:Y6)</f>
        <v>1.8235854859839598</v>
      </c>
      <c r="AB6" s="31">
        <v>5.5970000000000004</v>
      </c>
      <c r="AC6" s="31">
        <v>5.2510000000000003</v>
      </c>
      <c r="AD6" s="31">
        <v>6.7809999999999997</v>
      </c>
      <c r="AE6" s="31">
        <v>3.883</v>
      </c>
      <c r="AF6" s="31">
        <v>5.351</v>
      </c>
      <c r="AG6" s="31">
        <v>5.1369999999999996</v>
      </c>
      <c r="AH6" s="31">
        <v>6.71</v>
      </c>
      <c r="AI6" s="31">
        <v>1.165</v>
      </c>
      <c r="AJ6" s="31">
        <v>0.83</v>
      </c>
      <c r="AK6" s="41">
        <f t="shared" ref="AK6:AK20" si="4">AVERAGE(AB6:AJ6)</f>
        <v>4.5227777777777778</v>
      </c>
      <c r="AL6" s="41">
        <f t="shared" ref="AL6:AL20" si="5">_xlfn.STDEV.P(AB6:AJ6)</f>
        <v>2.053495273796893</v>
      </c>
      <c r="AM6" s="31">
        <v>5.48</v>
      </c>
      <c r="AN6" s="31">
        <v>7.117</v>
      </c>
      <c r="AO6" s="31">
        <v>5.1470000000000002</v>
      </c>
      <c r="AP6" s="31">
        <v>3.9910000000000001</v>
      </c>
      <c r="AQ6" s="31">
        <v>7.133</v>
      </c>
      <c r="AR6" s="31">
        <v>6.5869999999999997</v>
      </c>
      <c r="AS6" s="31">
        <v>6.0119999999999996</v>
      </c>
      <c r="AT6" s="31">
        <v>1.399</v>
      </c>
      <c r="AU6" s="31">
        <v>2.4500000000000002</v>
      </c>
      <c r="AV6" s="41">
        <f t="shared" ref="AV6:AV20" si="6">AVERAGE(AM6:AU6)</f>
        <v>5.0351111111111111</v>
      </c>
      <c r="AW6" s="41">
        <f t="shared" ref="AW6:AW20" si="7">_xlfn.STDEV.P(AM6:AU6)</f>
        <v>1.9236188952911091</v>
      </c>
      <c r="AX6" s="31">
        <v>5.1580000000000004</v>
      </c>
      <c r="AY6" s="31">
        <v>4.8719999999999999</v>
      </c>
      <c r="AZ6" s="31">
        <v>5.3550000000000004</v>
      </c>
      <c r="BA6" s="31">
        <v>1.194</v>
      </c>
      <c r="BB6" s="31">
        <v>7.2409999999999997</v>
      </c>
      <c r="BC6" s="31">
        <v>4.0350000000000001</v>
      </c>
      <c r="BD6" s="31">
        <v>6.2270000000000003</v>
      </c>
      <c r="BE6" s="31">
        <v>2.2589999999999999</v>
      </c>
      <c r="BF6" s="31">
        <v>3.9980000000000002</v>
      </c>
      <c r="BG6" s="41">
        <f t="shared" ref="BG6:BG20" si="8">AVERAGE(AX6:BF6)</f>
        <v>4.4821111111111112</v>
      </c>
      <c r="BH6" s="41">
        <f t="shared" ref="BH6:BH20" si="9">_xlfn.STDEV.P(AX6:BF6)</f>
        <v>1.7705946549390597</v>
      </c>
      <c r="BI6" s="38">
        <f t="shared" ref="BI6:BI20" si="10">AVERAGE(AK6,Z6,AV6,BG6)</f>
        <v>4.447111111111111</v>
      </c>
      <c r="BJ6" s="29">
        <f t="shared" ref="BJ6:BJ20" si="11">_xlfn.STDEV.P(Q6:Y6,AB6:AJ6,AM6:AU6,AX6:BF6)</f>
        <v>1.9505416879788091</v>
      </c>
    </row>
    <row r="7" spans="1:66" x14ac:dyDescent="0.3">
      <c r="A7" s="39">
        <v>3</v>
      </c>
      <c r="B7" s="29">
        <v>0.08</v>
      </c>
      <c r="C7" s="29">
        <v>45</v>
      </c>
      <c r="D7" s="29">
        <v>50</v>
      </c>
      <c r="E7" s="34">
        <v>75</v>
      </c>
      <c r="F7" s="31">
        <v>0.99399999999999999</v>
      </c>
      <c r="G7" s="31">
        <v>1.0129999999999999</v>
      </c>
      <c r="H7" s="31">
        <v>0.84299999999999997</v>
      </c>
      <c r="I7" s="31">
        <v>0.498</v>
      </c>
      <c r="J7" s="31">
        <v>1.0669999999999999</v>
      </c>
      <c r="K7" s="31">
        <v>2.6709999999999998</v>
      </c>
      <c r="L7" s="31">
        <v>1.3919999999999999</v>
      </c>
      <c r="M7" s="31">
        <v>0.878</v>
      </c>
      <c r="N7" s="31">
        <v>0.52400000000000002</v>
      </c>
      <c r="O7" s="41">
        <f t="shared" si="0"/>
        <v>1.0977777777777777</v>
      </c>
      <c r="P7" s="41">
        <f t="shared" si="1"/>
        <v>0.61306765582379574</v>
      </c>
      <c r="Q7" s="31">
        <v>4.8</v>
      </c>
      <c r="R7" s="31">
        <v>5.4320000000000004</v>
      </c>
      <c r="S7" s="31">
        <v>6.3949999999999996</v>
      </c>
      <c r="T7" s="31">
        <v>5.6589999999999998</v>
      </c>
      <c r="U7" s="31">
        <v>7.6180000000000003</v>
      </c>
      <c r="V7" s="31">
        <v>5.9660000000000002</v>
      </c>
      <c r="W7" s="31">
        <v>5.3179999999999996</v>
      </c>
      <c r="X7" s="31">
        <v>1.1419999999999999</v>
      </c>
      <c r="Y7" s="31">
        <v>2.1539999999999999</v>
      </c>
      <c r="Z7" s="41">
        <f t="shared" si="2"/>
        <v>4.9426666666666659</v>
      </c>
      <c r="AA7" s="41">
        <f t="shared" si="3"/>
        <v>1.9278494062901641</v>
      </c>
      <c r="AB7" s="31">
        <v>5.6890000000000001</v>
      </c>
      <c r="AC7" s="31">
        <v>5.0170000000000003</v>
      </c>
      <c r="AD7" s="31">
        <v>5.05</v>
      </c>
      <c r="AE7" s="31">
        <v>1.966</v>
      </c>
      <c r="AF7" s="31">
        <v>5.298</v>
      </c>
      <c r="AG7" s="31">
        <v>5.0190000000000001</v>
      </c>
      <c r="AH7" s="31">
        <v>5.1760000000000002</v>
      </c>
      <c r="AI7" s="31">
        <v>1.6970000000000001</v>
      </c>
      <c r="AJ7" s="31">
        <v>1.222</v>
      </c>
      <c r="AK7" s="41">
        <f t="shared" si="4"/>
        <v>4.0148888888888896</v>
      </c>
      <c r="AL7" s="41">
        <f t="shared" si="5"/>
        <v>1.7078870925759839</v>
      </c>
      <c r="AM7" s="31">
        <v>5.1550000000000002</v>
      </c>
      <c r="AN7" s="31">
        <v>5.1130000000000004</v>
      </c>
      <c r="AO7" s="31">
        <v>6.6079999999999997</v>
      </c>
      <c r="AP7" s="31">
        <v>3.6680000000000001</v>
      </c>
      <c r="AQ7" s="31">
        <v>5.85</v>
      </c>
      <c r="AR7" s="31">
        <v>4.9870000000000001</v>
      </c>
      <c r="AS7" s="31">
        <v>5.2930000000000001</v>
      </c>
      <c r="AT7" s="31">
        <v>1.2130000000000001</v>
      </c>
      <c r="AU7" s="31">
        <v>0.71699999999999997</v>
      </c>
      <c r="AV7" s="41">
        <f t="shared" si="6"/>
        <v>4.2893333333333334</v>
      </c>
      <c r="AW7" s="41">
        <f t="shared" si="7"/>
        <v>1.9248444092965025</v>
      </c>
      <c r="AX7" s="31">
        <v>9.11</v>
      </c>
      <c r="AY7" s="31">
        <v>5.2469999999999999</v>
      </c>
      <c r="AZ7" s="31">
        <v>6.7809999999999997</v>
      </c>
      <c r="BA7" s="31">
        <v>1.2949999999999999</v>
      </c>
      <c r="BB7" s="31">
        <v>5.1109999999999998</v>
      </c>
      <c r="BC7" s="31">
        <v>6.4349999999999996</v>
      </c>
      <c r="BD7" s="31">
        <v>5.0880000000000001</v>
      </c>
      <c r="BE7" s="31">
        <v>1.218</v>
      </c>
      <c r="BF7" s="31">
        <v>1.04</v>
      </c>
      <c r="BG7" s="41">
        <f t="shared" si="8"/>
        <v>4.5916666666666659</v>
      </c>
      <c r="BH7" s="41">
        <f t="shared" si="9"/>
        <v>2.6753168867340644</v>
      </c>
      <c r="BI7" s="38">
        <f t="shared" si="10"/>
        <v>4.4596388888888887</v>
      </c>
      <c r="BJ7" s="29">
        <f t="shared" si="11"/>
        <v>2.1197512714778819</v>
      </c>
    </row>
    <row r="8" spans="1:66" x14ac:dyDescent="0.3">
      <c r="A8" s="39">
        <v>4</v>
      </c>
      <c r="B8" s="29">
        <v>0.08</v>
      </c>
      <c r="C8" s="29">
        <v>60</v>
      </c>
      <c r="D8" s="29">
        <v>60</v>
      </c>
      <c r="E8" s="34">
        <v>100</v>
      </c>
      <c r="F8" s="31">
        <v>2.2141000000000002</v>
      </c>
      <c r="G8" s="31">
        <v>1.5589999999999999</v>
      </c>
      <c r="H8" s="31">
        <v>0.73899999999999999</v>
      </c>
      <c r="I8" s="31">
        <v>1.27</v>
      </c>
      <c r="J8" s="31">
        <v>1.5569999999999999</v>
      </c>
      <c r="K8" s="31">
        <v>0.61899999999999999</v>
      </c>
      <c r="L8" s="31">
        <v>1.103</v>
      </c>
      <c r="M8" s="31">
        <v>2.839</v>
      </c>
      <c r="N8" s="31">
        <v>2.2549999999999999</v>
      </c>
      <c r="O8" s="41">
        <f t="shared" si="0"/>
        <v>1.572788888888889</v>
      </c>
      <c r="P8" s="41">
        <f t="shared" si="1"/>
        <v>0.6990248611767752</v>
      </c>
      <c r="Q8" s="31">
        <v>5.242</v>
      </c>
      <c r="R8" s="31">
        <v>4.8499999999999996</v>
      </c>
      <c r="S8" s="31">
        <v>5.782</v>
      </c>
      <c r="T8" s="31">
        <v>1.429</v>
      </c>
      <c r="U8" s="31">
        <v>5.2480000000000002</v>
      </c>
      <c r="V8" s="31">
        <v>6.5979999999999999</v>
      </c>
      <c r="W8" s="31">
        <v>4.6449999999999996</v>
      </c>
      <c r="X8" s="31">
        <v>0.628</v>
      </c>
      <c r="Y8" s="31">
        <v>0.47399999999999998</v>
      </c>
      <c r="Z8" s="41">
        <f t="shared" si="2"/>
        <v>3.8773333333333326</v>
      </c>
      <c r="AA8" s="41">
        <f t="shared" si="3"/>
        <v>2.2221460598059508</v>
      </c>
      <c r="AB8" s="31">
        <v>5.202</v>
      </c>
      <c r="AC8" s="31">
        <v>5.7069999999999999</v>
      </c>
      <c r="AD8" s="31">
        <v>5.6210000000000004</v>
      </c>
      <c r="AE8" s="31">
        <v>5.2640000000000002</v>
      </c>
      <c r="AF8" s="31">
        <v>4.8710000000000004</v>
      </c>
      <c r="AG8" s="31">
        <v>4.6989999999999998</v>
      </c>
      <c r="AH8" s="31">
        <v>5.4379999999999997</v>
      </c>
      <c r="AI8" s="31">
        <v>0.89700000000000002</v>
      </c>
      <c r="AJ8" s="31">
        <v>1.857</v>
      </c>
      <c r="AK8" s="41">
        <f t="shared" si="4"/>
        <v>4.3951111111111105</v>
      </c>
      <c r="AL8" s="41">
        <f t="shared" si="5"/>
        <v>1.6571434219727814</v>
      </c>
      <c r="AM8" s="31">
        <v>6.0069999999999997</v>
      </c>
      <c r="AN8" s="31">
        <v>5.298</v>
      </c>
      <c r="AO8" s="31">
        <v>5.1689999999999996</v>
      </c>
      <c r="AP8" s="31">
        <v>1.321</v>
      </c>
      <c r="AQ8" s="31">
        <v>6.28</v>
      </c>
      <c r="AR8" s="31">
        <v>4.8550000000000004</v>
      </c>
      <c r="AS8" s="31">
        <v>5.2910000000000004</v>
      </c>
      <c r="AT8" s="31">
        <v>0.93</v>
      </c>
      <c r="AU8" s="31">
        <v>0.57099999999999995</v>
      </c>
      <c r="AV8" s="41">
        <f t="shared" si="6"/>
        <v>3.9691111111111113</v>
      </c>
      <c r="AW8" s="41">
        <f t="shared" si="7"/>
        <v>2.1864968147673243</v>
      </c>
      <c r="AX8" s="31">
        <v>5.5830000000000002</v>
      </c>
      <c r="AY8" s="31">
        <v>5.1440000000000001</v>
      </c>
      <c r="AZ8" s="31">
        <v>6.5430000000000001</v>
      </c>
      <c r="BA8" s="31">
        <v>2.3029999999999999</v>
      </c>
      <c r="BB8" s="31">
        <v>6.3179999999999996</v>
      </c>
      <c r="BC8" s="31">
        <v>4.117</v>
      </c>
      <c r="BD8" s="31">
        <v>5.36</v>
      </c>
      <c r="BE8" s="31">
        <v>0.35399999999999998</v>
      </c>
      <c r="BF8" s="31">
        <v>0.95899999999999996</v>
      </c>
      <c r="BG8" s="41">
        <f t="shared" si="8"/>
        <v>4.0756666666666668</v>
      </c>
      <c r="BH8" s="41">
        <f t="shared" si="9"/>
        <v>2.1829430694464844</v>
      </c>
      <c r="BI8" s="38">
        <f t="shared" si="10"/>
        <v>4.0793055555555551</v>
      </c>
      <c r="BJ8" s="29">
        <f t="shared" si="11"/>
        <v>2.0846311533517561</v>
      </c>
    </row>
    <row r="9" spans="1:66" x14ac:dyDescent="0.3">
      <c r="A9" s="39">
        <v>5</v>
      </c>
      <c r="B9" s="29">
        <v>0.16</v>
      </c>
      <c r="C9" s="29">
        <v>0</v>
      </c>
      <c r="D9" s="29">
        <v>40</v>
      </c>
      <c r="E9" s="34">
        <v>75</v>
      </c>
      <c r="F9" s="31">
        <v>0.95099999999999996</v>
      </c>
      <c r="G9" s="31">
        <v>3.077</v>
      </c>
      <c r="H9" s="31">
        <v>1.9750000000000001</v>
      </c>
      <c r="I9" s="31">
        <v>0.29199999999999998</v>
      </c>
      <c r="J9" s="31">
        <v>4.58</v>
      </c>
      <c r="K9" s="31">
        <v>3.2869999999999999</v>
      </c>
      <c r="L9" s="31">
        <v>1.7230000000000001</v>
      </c>
      <c r="M9" s="31">
        <v>3.399</v>
      </c>
      <c r="N9" s="31">
        <v>2.7989999999999999</v>
      </c>
      <c r="O9" s="41">
        <f t="shared" si="0"/>
        <v>2.4536666666666664</v>
      </c>
      <c r="P9" s="41">
        <f t="shared" si="1"/>
        <v>1.2609959908298245</v>
      </c>
      <c r="Q9" s="31">
        <v>9.8840000000000003</v>
      </c>
      <c r="R9" s="31">
        <v>9.8810000000000002</v>
      </c>
      <c r="S9" s="31">
        <v>9.1479999999999997</v>
      </c>
      <c r="T9" s="31">
        <v>1.0920000000000001</v>
      </c>
      <c r="U9" s="31">
        <v>8.9130000000000003</v>
      </c>
      <c r="V9" s="31">
        <v>10.406000000000001</v>
      </c>
      <c r="W9" s="31">
        <v>9.6</v>
      </c>
      <c r="X9" s="31">
        <v>0.65800000000000003</v>
      </c>
      <c r="Y9" s="31">
        <v>0.97699999999999998</v>
      </c>
      <c r="Z9" s="41">
        <f t="shared" si="2"/>
        <v>6.7287777777777773</v>
      </c>
      <c r="AA9" s="41">
        <f t="shared" si="3"/>
        <v>4.1364481483454636</v>
      </c>
      <c r="AB9" s="31">
        <v>9.6959999999999997</v>
      </c>
      <c r="AC9" s="31">
        <v>9.9909999999999997</v>
      </c>
      <c r="AD9" s="31">
        <v>10.119999999999999</v>
      </c>
      <c r="AE9" s="31">
        <v>0.56899999999999995</v>
      </c>
      <c r="AF9" s="31">
        <v>9.1890000000000001</v>
      </c>
      <c r="AG9" s="31">
        <v>9.4250000000000007</v>
      </c>
      <c r="AH9" s="31">
        <v>11.307</v>
      </c>
      <c r="AI9" s="31">
        <v>1.4019999999999999</v>
      </c>
      <c r="AJ9" s="31">
        <v>0.25700000000000001</v>
      </c>
      <c r="AK9" s="41">
        <f t="shared" si="4"/>
        <v>6.8839999999999995</v>
      </c>
      <c r="AL9" s="41">
        <f t="shared" si="5"/>
        <v>4.3870238203137228</v>
      </c>
      <c r="AM9" s="31">
        <v>8.859</v>
      </c>
      <c r="AN9" s="31">
        <v>9.4659999999999993</v>
      </c>
      <c r="AO9" s="31">
        <v>11.331</v>
      </c>
      <c r="AP9" s="31">
        <v>1.284</v>
      </c>
      <c r="AQ9" s="31">
        <v>9.9120000000000008</v>
      </c>
      <c r="AR9" s="31">
        <v>9</v>
      </c>
      <c r="AS9" s="31">
        <v>11.281000000000001</v>
      </c>
      <c r="AT9" s="31">
        <v>0.6</v>
      </c>
      <c r="AU9" s="31">
        <v>1.107</v>
      </c>
      <c r="AV9" s="41">
        <f t="shared" si="6"/>
        <v>6.9822222222222221</v>
      </c>
      <c r="AW9" s="41">
        <f t="shared" si="7"/>
        <v>4.3135260590065307</v>
      </c>
      <c r="AX9" s="31">
        <v>9.3989999999999991</v>
      </c>
      <c r="AY9" s="31">
        <v>9.4760000000000009</v>
      </c>
      <c r="AZ9" s="31">
        <v>10.198</v>
      </c>
      <c r="BA9" s="31">
        <v>1.536</v>
      </c>
      <c r="BB9" s="31">
        <v>10.852</v>
      </c>
      <c r="BC9" s="31">
        <v>9.5060000000000002</v>
      </c>
      <c r="BD9" s="31">
        <v>10.407999999999999</v>
      </c>
      <c r="BE9" s="31">
        <v>1.8879999999999999</v>
      </c>
      <c r="BF9" s="31">
        <v>0.82</v>
      </c>
      <c r="BG9" s="41">
        <f t="shared" si="8"/>
        <v>7.120333333333333</v>
      </c>
      <c r="BH9" s="41">
        <f t="shared" si="9"/>
        <v>4.0674221156239332</v>
      </c>
      <c r="BI9" s="38">
        <f t="shared" si="10"/>
        <v>6.9288333333333334</v>
      </c>
      <c r="BJ9" s="29">
        <f t="shared" si="11"/>
        <v>4.2304895074000841</v>
      </c>
    </row>
    <row r="10" spans="1:66" x14ac:dyDescent="0.3">
      <c r="A10" s="39">
        <v>6</v>
      </c>
      <c r="B10" s="29">
        <v>0.16</v>
      </c>
      <c r="C10" s="29">
        <v>30</v>
      </c>
      <c r="D10" s="29">
        <v>30</v>
      </c>
      <c r="E10" s="34">
        <v>100</v>
      </c>
      <c r="F10" s="31">
        <v>1.921</v>
      </c>
      <c r="G10" s="31">
        <v>1.373</v>
      </c>
      <c r="H10" s="31">
        <v>2.8580000000000001</v>
      </c>
      <c r="I10" s="31">
        <v>3.548</v>
      </c>
      <c r="J10" s="31">
        <v>2.4369999999999998</v>
      </c>
      <c r="K10" s="31">
        <v>0.91600000000000004</v>
      </c>
      <c r="L10" s="31">
        <v>2.98</v>
      </c>
      <c r="M10" s="31">
        <v>3.8250000000000002</v>
      </c>
      <c r="N10" s="31">
        <v>2.2290000000000001</v>
      </c>
      <c r="O10" s="41">
        <f t="shared" si="0"/>
        <v>2.4541111111111107</v>
      </c>
      <c r="P10" s="41">
        <f t="shared" si="1"/>
        <v>0.90586833044254655</v>
      </c>
      <c r="Q10" s="31">
        <v>9.282</v>
      </c>
      <c r="R10" s="31">
        <v>12.64</v>
      </c>
      <c r="S10" s="31">
        <v>11.238</v>
      </c>
      <c r="T10" s="31">
        <v>1.7929999999999999</v>
      </c>
      <c r="U10" s="31">
        <v>11.58</v>
      </c>
      <c r="V10" s="31">
        <v>9.0660000000000007</v>
      </c>
      <c r="W10" s="31">
        <v>9.92</v>
      </c>
      <c r="X10" s="31">
        <v>1.0649999999999999</v>
      </c>
      <c r="Y10" s="31">
        <v>1.5089999999999999</v>
      </c>
      <c r="Z10" s="41">
        <f t="shared" si="2"/>
        <v>7.565888888888888</v>
      </c>
      <c r="AA10" s="41">
        <f t="shared" si="3"/>
        <v>4.4516539609064782</v>
      </c>
      <c r="AB10" s="31">
        <v>10.24</v>
      </c>
      <c r="AC10" s="31">
        <v>10.449</v>
      </c>
      <c r="AD10" s="31">
        <v>9.7959999999999994</v>
      </c>
      <c r="AE10" s="31">
        <v>0.39</v>
      </c>
      <c r="AF10" s="31">
        <v>9.2279999999999998</v>
      </c>
      <c r="AG10" s="31">
        <v>9.8520000000000003</v>
      </c>
      <c r="AH10" s="31">
        <v>10.865</v>
      </c>
      <c r="AI10" s="31">
        <v>0.88400000000000001</v>
      </c>
      <c r="AJ10" s="31">
        <v>1.282</v>
      </c>
      <c r="AK10" s="41">
        <f t="shared" si="4"/>
        <v>6.9984444444444449</v>
      </c>
      <c r="AL10" s="41">
        <f t="shared" si="5"/>
        <v>4.3721338322280996</v>
      </c>
      <c r="AM10" s="31">
        <v>10.039</v>
      </c>
      <c r="AN10" s="31">
        <v>10.417</v>
      </c>
      <c r="AO10" s="31">
        <v>9.59</v>
      </c>
      <c r="AP10" s="31">
        <v>1.0589999999999999</v>
      </c>
      <c r="AQ10" s="31">
        <v>7.931</v>
      </c>
      <c r="AR10" s="31">
        <v>11.11</v>
      </c>
      <c r="AS10" s="31">
        <v>9.8800000000000008</v>
      </c>
      <c r="AT10" s="31">
        <v>0.497</v>
      </c>
      <c r="AU10" s="31">
        <v>3.0179999999999998</v>
      </c>
      <c r="AV10" s="41">
        <f t="shared" si="6"/>
        <v>7.0601111111111114</v>
      </c>
      <c r="AW10" s="41">
        <f t="shared" si="7"/>
        <v>4.0425660839632389</v>
      </c>
      <c r="AX10" s="31">
        <v>9.4740000000000002</v>
      </c>
      <c r="AY10" s="31">
        <v>11.628</v>
      </c>
      <c r="AZ10" s="31">
        <v>10.58</v>
      </c>
      <c r="BA10" s="31">
        <v>2.073</v>
      </c>
      <c r="BB10" s="31">
        <v>10.768000000000001</v>
      </c>
      <c r="BC10" s="31">
        <v>10.298999999999999</v>
      </c>
      <c r="BD10" s="31">
        <v>9.9930000000000003</v>
      </c>
      <c r="BE10" s="31">
        <v>0.46</v>
      </c>
      <c r="BF10" s="31">
        <v>0.54600000000000004</v>
      </c>
      <c r="BG10" s="41">
        <f t="shared" si="8"/>
        <v>7.3134444444444444</v>
      </c>
      <c r="BH10" s="41">
        <f t="shared" si="9"/>
        <v>4.4995253110401947</v>
      </c>
      <c r="BI10" s="38">
        <f t="shared" si="10"/>
        <v>7.2344722222222231</v>
      </c>
      <c r="BJ10" s="29">
        <f t="shared" si="11"/>
        <v>4.3509490438939569</v>
      </c>
    </row>
    <row r="11" spans="1:66" x14ac:dyDescent="0.3">
      <c r="A11" s="39">
        <v>7</v>
      </c>
      <c r="B11" s="29">
        <v>0.16</v>
      </c>
      <c r="C11" s="29">
        <v>45</v>
      </c>
      <c r="D11" s="29">
        <v>60</v>
      </c>
      <c r="E11" s="34">
        <v>25</v>
      </c>
      <c r="F11" s="31">
        <v>1.641</v>
      </c>
      <c r="G11" s="31">
        <v>0.20599999999999999</v>
      </c>
      <c r="H11" s="31">
        <v>1.379</v>
      </c>
      <c r="I11" s="31">
        <v>1.708</v>
      </c>
      <c r="J11" s="31">
        <v>1.125</v>
      </c>
      <c r="K11" s="31">
        <v>0.433</v>
      </c>
      <c r="L11" s="31">
        <v>2.2959999999999998</v>
      </c>
      <c r="M11" s="31">
        <v>2.222</v>
      </c>
      <c r="N11" s="31">
        <v>1.169</v>
      </c>
      <c r="O11" s="41">
        <f t="shared" si="0"/>
        <v>1.3532222222222223</v>
      </c>
      <c r="P11" s="41">
        <f t="shared" si="1"/>
        <v>0.67510522270857487</v>
      </c>
      <c r="Q11" s="31">
        <v>9.9640000000000004</v>
      </c>
      <c r="R11" s="31">
        <v>4.7610000000000001</v>
      </c>
      <c r="S11" s="31">
        <v>11.680999999999999</v>
      </c>
      <c r="T11" s="31">
        <v>3.33</v>
      </c>
      <c r="U11" s="31">
        <v>8.4870000000000001</v>
      </c>
      <c r="V11" s="31">
        <v>3.839</v>
      </c>
      <c r="W11" s="31">
        <v>7.3360000000000003</v>
      </c>
      <c r="X11" s="31">
        <v>1.1140000000000001</v>
      </c>
      <c r="Y11" s="31">
        <v>1.179</v>
      </c>
      <c r="Z11" s="41">
        <f t="shared" si="2"/>
        <v>5.7434444444444441</v>
      </c>
      <c r="AA11" s="41">
        <f t="shared" si="3"/>
        <v>3.5872260131103824</v>
      </c>
      <c r="AB11" s="31">
        <v>10.579000000000001</v>
      </c>
      <c r="AC11" s="31">
        <v>10.364000000000001</v>
      </c>
      <c r="AD11" s="31">
        <v>9.3369999999999997</v>
      </c>
      <c r="AE11" s="31">
        <v>1.76</v>
      </c>
      <c r="AF11" s="31">
        <v>12.433</v>
      </c>
      <c r="AG11" s="31">
        <v>8.2230000000000008</v>
      </c>
      <c r="AH11" s="31">
        <v>9.7629999999999999</v>
      </c>
      <c r="AI11" s="31">
        <v>1.042</v>
      </c>
      <c r="AJ11" s="31">
        <v>1.232</v>
      </c>
      <c r="AK11" s="41">
        <f t="shared" si="4"/>
        <v>7.1925555555555558</v>
      </c>
      <c r="AL11" s="41">
        <f t="shared" si="5"/>
        <v>4.270391371892722</v>
      </c>
      <c r="AM11" s="31">
        <v>9.4770000000000003</v>
      </c>
      <c r="AN11" s="31">
        <v>9.4410000000000007</v>
      </c>
      <c r="AO11" s="31">
        <v>7.91</v>
      </c>
      <c r="AP11" s="31">
        <v>1.3420000000000001</v>
      </c>
      <c r="AQ11" s="31">
        <v>10.087</v>
      </c>
      <c r="AR11" s="31">
        <v>4.7850000000000001</v>
      </c>
      <c r="AS11" s="31">
        <v>9.3849999999999998</v>
      </c>
      <c r="AT11" s="31">
        <v>0.85</v>
      </c>
      <c r="AU11" s="31">
        <v>0.84599999999999997</v>
      </c>
      <c r="AV11" s="41">
        <f t="shared" si="6"/>
        <v>6.0136666666666665</v>
      </c>
      <c r="AW11" s="41">
        <f t="shared" si="7"/>
        <v>3.8296740215207761</v>
      </c>
      <c r="AX11" s="31">
        <v>9.3810000000000002</v>
      </c>
      <c r="AY11" s="31">
        <v>10.196</v>
      </c>
      <c r="AZ11" s="31">
        <v>9.3390000000000004</v>
      </c>
      <c r="BA11" s="31">
        <v>4.3029999999999999</v>
      </c>
      <c r="BB11" s="31">
        <v>10.65</v>
      </c>
      <c r="BC11" s="31">
        <v>9.3140000000000001</v>
      </c>
      <c r="BD11" s="31">
        <v>9.0030000000000001</v>
      </c>
      <c r="BE11" s="31">
        <v>1.0669999999999999</v>
      </c>
      <c r="BF11" s="31">
        <v>0.69499999999999995</v>
      </c>
      <c r="BG11" s="41">
        <f t="shared" si="8"/>
        <v>7.1053333333333324</v>
      </c>
      <c r="BH11" s="41">
        <f t="shared" si="9"/>
        <v>3.7441965463604854</v>
      </c>
      <c r="BI11" s="38">
        <f t="shared" si="10"/>
        <v>6.5137499999999999</v>
      </c>
      <c r="BJ11" s="29">
        <f t="shared" si="11"/>
        <v>3.9193126195446859</v>
      </c>
    </row>
    <row r="12" spans="1:66" x14ac:dyDescent="0.3">
      <c r="A12" s="39">
        <v>8</v>
      </c>
      <c r="B12" s="29">
        <v>0.16</v>
      </c>
      <c r="C12" s="29">
        <v>60</v>
      </c>
      <c r="D12" s="29">
        <v>50</v>
      </c>
      <c r="E12" s="34">
        <v>50</v>
      </c>
      <c r="F12" s="31">
        <v>1.3109999999999999</v>
      </c>
      <c r="G12" s="31">
        <v>3.6259999999999999</v>
      </c>
      <c r="H12" s="31">
        <v>2.3149999999999999</v>
      </c>
      <c r="I12" s="31">
        <v>0.97</v>
      </c>
      <c r="J12" s="31">
        <v>1.236</v>
      </c>
      <c r="K12" s="31">
        <v>4.1500000000000004</v>
      </c>
      <c r="L12" s="31">
        <v>2.4350000000000001</v>
      </c>
      <c r="M12" s="31">
        <v>0.45</v>
      </c>
      <c r="N12" s="31">
        <v>0.5</v>
      </c>
      <c r="O12" s="41">
        <f t="shared" si="0"/>
        <v>1.8881111111111109</v>
      </c>
      <c r="P12" s="41">
        <f t="shared" si="1"/>
        <v>1.2567140083429613</v>
      </c>
      <c r="Q12" s="31">
        <v>9.61</v>
      </c>
      <c r="R12" s="31">
        <v>11.249000000000001</v>
      </c>
      <c r="S12" s="31">
        <v>10.311999999999999</v>
      </c>
      <c r="T12" s="31">
        <v>2.899</v>
      </c>
      <c r="U12" s="31">
        <v>11.202999999999999</v>
      </c>
      <c r="V12" s="31">
        <v>11.847</v>
      </c>
      <c r="W12" s="31">
        <v>9.6679999999999993</v>
      </c>
      <c r="X12" s="31">
        <v>1.84</v>
      </c>
      <c r="Y12" s="31">
        <v>2.899</v>
      </c>
      <c r="Z12" s="41">
        <f t="shared" si="2"/>
        <v>7.9474444444444448</v>
      </c>
      <c r="AA12" s="41">
        <f t="shared" si="3"/>
        <v>3.8915211282168345</v>
      </c>
      <c r="AB12" s="31">
        <v>8.9779999999999998</v>
      </c>
      <c r="AC12" s="31">
        <v>10.396000000000001</v>
      </c>
      <c r="AD12" s="31">
        <v>10.423</v>
      </c>
      <c r="AE12" s="31">
        <v>4.8239999999999998</v>
      </c>
      <c r="AF12" s="31">
        <v>10.127000000000001</v>
      </c>
      <c r="AG12" s="31">
        <v>8.3469999999999995</v>
      </c>
      <c r="AH12" s="31">
        <v>9.0749999999999993</v>
      </c>
      <c r="AI12" s="31">
        <v>1.5840000000000001</v>
      </c>
      <c r="AJ12" s="31">
        <v>0.878</v>
      </c>
      <c r="AK12" s="41">
        <f t="shared" si="4"/>
        <v>7.1813333333333338</v>
      </c>
      <c r="AL12" s="41">
        <f t="shared" si="5"/>
        <v>3.5638832129512266</v>
      </c>
      <c r="AM12" s="31">
        <v>9.6080000000000005</v>
      </c>
      <c r="AN12" s="31">
        <v>9.4770000000000003</v>
      </c>
      <c r="AO12" s="31">
        <v>8.5549999999999997</v>
      </c>
      <c r="AP12" s="31">
        <v>2.532</v>
      </c>
      <c r="AQ12" s="31">
        <v>11.076000000000001</v>
      </c>
      <c r="AR12" s="31">
        <v>10.621</v>
      </c>
      <c r="AS12" s="31">
        <v>10.013</v>
      </c>
      <c r="AT12" s="31">
        <v>1.113</v>
      </c>
      <c r="AU12" s="31">
        <v>2.359</v>
      </c>
      <c r="AV12" s="41">
        <f t="shared" si="6"/>
        <v>7.2615555555555558</v>
      </c>
      <c r="AW12" s="41">
        <f t="shared" si="7"/>
        <v>3.7962229214227934</v>
      </c>
      <c r="AX12" s="31">
        <v>9.9469999999999992</v>
      </c>
      <c r="AY12" s="31">
        <v>11.071999999999999</v>
      </c>
      <c r="AZ12" s="31">
        <v>9.3580000000000005</v>
      </c>
      <c r="BA12" s="31">
        <v>1.6439999999999999</v>
      </c>
      <c r="BB12" s="31">
        <v>9.0039999999999996</v>
      </c>
      <c r="BC12" s="31">
        <v>9.5020000000000007</v>
      </c>
      <c r="BD12" s="31">
        <v>10.930999999999999</v>
      </c>
      <c r="BE12" s="31">
        <v>4.8479999999999999</v>
      </c>
      <c r="BF12" s="31">
        <v>1.3940999999999999</v>
      </c>
      <c r="BG12" s="41">
        <f t="shared" si="8"/>
        <v>7.5222333333333324</v>
      </c>
      <c r="BH12" s="41">
        <f t="shared" si="9"/>
        <v>3.6338584317805003</v>
      </c>
      <c r="BI12" s="38">
        <f t="shared" si="10"/>
        <v>7.4781416666666667</v>
      </c>
      <c r="BJ12" s="29">
        <f t="shared" si="11"/>
        <v>3.7355933170258715</v>
      </c>
    </row>
    <row r="13" spans="1:66" x14ac:dyDescent="0.3">
      <c r="A13" s="39">
        <v>9</v>
      </c>
      <c r="B13" s="29">
        <v>0.25</v>
      </c>
      <c r="C13" s="29">
        <v>0</v>
      </c>
      <c r="D13" s="29">
        <v>50</v>
      </c>
      <c r="E13" s="34">
        <v>100</v>
      </c>
      <c r="F13" s="31">
        <v>7.7560000000000002</v>
      </c>
      <c r="G13" s="31">
        <v>9.2609999999999992</v>
      </c>
      <c r="H13" s="31">
        <v>14.489000000000001</v>
      </c>
      <c r="I13" s="31">
        <v>3.0002</v>
      </c>
      <c r="J13" s="31">
        <v>1.655</v>
      </c>
      <c r="K13" s="31">
        <v>12.528</v>
      </c>
      <c r="L13" s="31">
        <v>9.7309999999999999</v>
      </c>
      <c r="M13" s="31">
        <v>3.331</v>
      </c>
      <c r="N13" s="31">
        <v>1.415</v>
      </c>
      <c r="O13" s="41">
        <f t="shared" si="0"/>
        <v>7.0184666666666669</v>
      </c>
      <c r="P13" s="41">
        <f t="shared" si="1"/>
        <v>4.5826249741096339</v>
      </c>
      <c r="Q13" s="31">
        <v>7.36</v>
      </c>
      <c r="R13" s="31">
        <v>14.954000000000001</v>
      </c>
      <c r="S13" s="31">
        <v>14.654</v>
      </c>
      <c r="T13" s="31">
        <v>2.6880000000000002</v>
      </c>
      <c r="U13" s="31">
        <v>13.715</v>
      </c>
      <c r="V13" s="31">
        <v>14.334</v>
      </c>
      <c r="W13" s="31">
        <v>13.147</v>
      </c>
      <c r="X13" s="31">
        <v>0.72199999999999998</v>
      </c>
      <c r="Y13" s="31">
        <v>4.1740000000000004</v>
      </c>
      <c r="Z13" s="41">
        <f t="shared" si="2"/>
        <v>9.5275555555555584</v>
      </c>
      <c r="AA13" s="41">
        <f t="shared" si="3"/>
        <v>5.448138236766165</v>
      </c>
      <c r="AB13" s="31">
        <v>15.615</v>
      </c>
      <c r="AC13" s="31">
        <v>13.26</v>
      </c>
      <c r="AD13" s="31">
        <v>12.944000000000001</v>
      </c>
      <c r="AE13" s="31">
        <v>1.3520000000000001</v>
      </c>
      <c r="AF13" s="31">
        <v>14.02</v>
      </c>
      <c r="AG13" s="31">
        <v>16.777000000000001</v>
      </c>
      <c r="AH13" s="31">
        <v>12.022</v>
      </c>
      <c r="AI13" s="31">
        <v>1.8</v>
      </c>
      <c r="AJ13" s="31">
        <v>0.89</v>
      </c>
      <c r="AK13" s="41">
        <f t="shared" si="4"/>
        <v>9.8533333333333335</v>
      </c>
      <c r="AL13" s="41">
        <f t="shared" si="5"/>
        <v>6.1628454647364137</v>
      </c>
      <c r="AM13" s="31">
        <v>15.914999999999999</v>
      </c>
      <c r="AN13" s="31">
        <v>12.098000000000001</v>
      </c>
      <c r="AO13" s="31">
        <v>14.313000000000001</v>
      </c>
      <c r="AP13" s="31">
        <v>0.59499999999999997</v>
      </c>
      <c r="AQ13" s="31">
        <v>12.284000000000001</v>
      </c>
      <c r="AR13" s="31">
        <v>12.486000000000001</v>
      </c>
      <c r="AS13" s="31">
        <v>12.087</v>
      </c>
      <c r="AT13" s="31">
        <v>0.27</v>
      </c>
      <c r="AU13" s="31">
        <v>1.0429999999999999</v>
      </c>
      <c r="AV13" s="41">
        <f t="shared" si="6"/>
        <v>9.0101111111111116</v>
      </c>
      <c r="AW13" s="41">
        <f t="shared" si="7"/>
        <v>6.0394910831302537</v>
      </c>
      <c r="AX13" s="31">
        <v>13.317</v>
      </c>
      <c r="AY13" s="31">
        <v>14.715</v>
      </c>
      <c r="AZ13" s="31">
        <v>14.491</v>
      </c>
      <c r="BA13" s="31">
        <v>1.732</v>
      </c>
      <c r="BB13" s="31">
        <v>14.404</v>
      </c>
      <c r="BC13" s="31">
        <v>14.507</v>
      </c>
      <c r="BD13" s="31">
        <v>13.048999999999999</v>
      </c>
      <c r="BE13" s="31">
        <v>1.752</v>
      </c>
      <c r="BF13" s="31">
        <v>1.3109999999999999</v>
      </c>
      <c r="BG13" s="41">
        <f t="shared" si="8"/>
        <v>9.9197777777777763</v>
      </c>
      <c r="BH13" s="41">
        <f t="shared" si="9"/>
        <v>5.9089159520503483</v>
      </c>
      <c r="BI13" s="38">
        <f t="shared" si="10"/>
        <v>9.577694444444445</v>
      </c>
      <c r="BJ13" s="29">
        <f t="shared" si="11"/>
        <v>5.9070144170555849</v>
      </c>
    </row>
    <row r="14" spans="1:66" x14ac:dyDescent="0.3">
      <c r="A14" s="39">
        <v>10</v>
      </c>
      <c r="B14" s="29">
        <v>0.25</v>
      </c>
      <c r="C14" s="29">
        <v>30</v>
      </c>
      <c r="D14" s="29">
        <v>60</v>
      </c>
      <c r="E14" s="34">
        <v>75</v>
      </c>
      <c r="F14" s="31">
        <v>3.8359999999999999</v>
      </c>
      <c r="G14" s="31">
        <v>2.1549999999999998</v>
      </c>
      <c r="H14" s="31">
        <v>0.70399999999999996</v>
      </c>
      <c r="I14" s="31">
        <v>1.9059999999999999</v>
      </c>
      <c r="J14" s="31">
        <v>1.5629999999999999</v>
      </c>
      <c r="K14" s="31">
        <v>2.81</v>
      </c>
      <c r="L14" s="31">
        <v>3.0230000000000001</v>
      </c>
      <c r="M14" s="31">
        <v>0.66100000000000003</v>
      </c>
      <c r="N14" s="31">
        <v>4.78</v>
      </c>
      <c r="O14" s="41">
        <f t="shared" si="0"/>
        <v>2.3820000000000001</v>
      </c>
      <c r="P14" s="41">
        <f t="shared" si="1"/>
        <v>1.2989301580745418</v>
      </c>
      <c r="Q14" s="31">
        <v>12.443</v>
      </c>
      <c r="R14" s="31">
        <v>14.898</v>
      </c>
      <c r="S14" s="31">
        <v>13.484999999999999</v>
      </c>
      <c r="T14" s="31">
        <v>0.61899999999999999</v>
      </c>
      <c r="U14" s="31">
        <v>14.356999999999999</v>
      </c>
      <c r="V14" s="31">
        <v>19.486000000000001</v>
      </c>
      <c r="W14" s="31">
        <v>12.476000000000001</v>
      </c>
      <c r="X14" s="31">
        <v>0.502</v>
      </c>
      <c r="Y14" s="31">
        <v>2.1040000000000001</v>
      </c>
      <c r="Z14" s="41">
        <f t="shared" si="2"/>
        <v>10.04111111111111</v>
      </c>
      <c r="AA14" s="41">
        <f t="shared" si="3"/>
        <v>6.6478807725042808</v>
      </c>
      <c r="AB14" s="31">
        <v>11.266</v>
      </c>
      <c r="AC14" s="31">
        <v>7.4779999999999998</v>
      </c>
      <c r="AD14" s="31">
        <v>9.8729999999999993</v>
      </c>
      <c r="AE14" s="31">
        <v>2.7970000000000002</v>
      </c>
      <c r="AF14" s="31">
        <v>13.75</v>
      </c>
      <c r="AG14" s="31">
        <v>7.4630000000000001</v>
      </c>
      <c r="AH14" s="31">
        <v>14.471</v>
      </c>
      <c r="AI14" s="31">
        <v>0.31</v>
      </c>
      <c r="AJ14" s="31">
        <v>0.53400000000000003</v>
      </c>
      <c r="AK14" s="41">
        <f t="shared" si="4"/>
        <v>7.5491111111111122</v>
      </c>
      <c r="AL14" s="41">
        <f t="shared" si="5"/>
        <v>5.052951138678913</v>
      </c>
      <c r="AM14" s="31">
        <v>15.206</v>
      </c>
      <c r="AN14" s="31">
        <v>13.997</v>
      </c>
      <c r="AO14" s="31">
        <v>14.148</v>
      </c>
      <c r="AP14" s="31">
        <v>0.85499999999999998</v>
      </c>
      <c r="AQ14" s="31">
        <v>11.89</v>
      </c>
      <c r="AR14" s="31">
        <v>13.939</v>
      </c>
      <c r="AS14" s="31">
        <v>14.319000000000001</v>
      </c>
      <c r="AT14" s="31">
        <v>0.36499999999999999</v>
      </c>
      <c r="AU14" s="31">
        <v>0.94399999999999995</v>
      </c>
      <c r="AV14" s="41">
        <f t="shared" si="6"/>
        <v>9.5181111111111107</v>
      </c>
      <c r="AW14" s="41">
        <f t="shared" si="7"/>
        <v>6.2752721489358461</v>
      </c>
      <c r="AX14" s="31">
        <v>15.558999999999999</v>
      </c>
      <c r="AY14" s="31">
        <v>15.153</v>
      </c>
      <c r="AZ14" s="31">
        <v>15.91</v>
      </c>
      <c r="BA14" s="31">
        <v>0.60799999999999998</v>
      </c>
      <c r="BB14" s="31">
        <v>15.217000000000001</v>
      </c>
      <c r="BC14" s="31">
        <v>14.407999999999999</v>
      </c>
      <c r="BD14" s="31">
        <v>12.622999999999999</v>
      </c>
      <c r="BE14" s="31">
        <v>2.4340000000000002</v>
      </c>
      <c r="BF14" s="31">
        <v>0.61099999999999999</v>
      </c>
      <c r="BG14" s="41">
        <f t="shared" si="8"/>
        <v>10.280333333333333</v>
      </c>
      <c r="BH14" s="41">
        <f t="shared" si="9"/>
        <v>6.4876954648352934</v>
      </c>
      <c r="BI14" s="38">
        <f t="shared" si="10"/>
        <v>9.3471666666666664</v>
      </c>
      <c r="BJ14" s="29">
        <f t="shared" si="11"/>
        <v>6.2412028421344115</v>
      </c>
    </row>
    <row r="15" spans="1:66" x14ac:dyDescent="0.3">
      <c r="A15" s="39">
        <v>11</v>
      </c>
      <c r="B15" s="29">
        <v>0.25</v>
      </c>
      <c r="C15" s="29">
        <v>45</v>
      </c>
      <c r="D15" s="29">
        <v>30</v>
      </c>
      <c r="E15" s="34">
        <v>50</v>
      </c>
      <c r="F15" s="31">
        <v>0.61099999999999999</v>
      </c>
      <c r="G15" s="31">
        <v>1.204</v>
      </c>
      <c r="H15" s="31">
        <v>2.6309999999999998</v>
      </c>
      <c r="I15" s="31">
        <v>1.8740000000000001</v>
      </c>
      <c r="J15" s="31">
        <v>2.1629999999999998</v>
      </c>
      <c r="K15" s="31">
        <v>0.92900000000000005</v>
      </c>
      <c r="L15" s="31">
        <v>1.637</v>
      </c>
      <c r="M15" s="31">
        <v>2.879</v>
      </c>
      <c r="N15" s="31">
        <v>3.319</v>
      </c>
      <c r="O15" s="41">
        <f t="shared" si="0"/>
        <v>1.9163333333333332</v>
      </c>
      <c r="P15" s="41">
        <f t="shared" si="1"/>
        <v>0.86485413028248093</v>
      </c>
      <c r="Q15" s="31">
        <v>13.382</v>
      </c>
      <c r="R15" s="31">
        <v>12.997</v>
      </c>
      <c r="S15" s="31">
        <v>13.393000000000001</v>
      </c>
      <c r="T15" s="31">
        <v>1.6819999999999999</v>
      </c>
      <c r="U15" s="31">
        <v>14.433999999999999</v>
      </c>
      <c r="V15" s="31">
        <v>9.8849999999999998</v>
      </c>
      <c r="W15" s="31">
        <v>15.545999999999999</v>
      </c>
      <c r="X15" s="31">
        <v>0.628</v>
      </c>
      <c r="Y15" s="31">
        <v>2.0979999999999999</v>
      </c>
      <c r="Z15" s="41">
        <f t="shared" si="2"/>
        <v>9.3383333333333312</v>
      </c>
      <c r="AA15" s="41">
        <f t="shared" si="3"/>
        <v>5.7531533961819603</v>
      </c>
      <c r="AB15" s="31">
        <v>14.489000000000001</v>
      </c>
      <c r="AC15" s="31">
        <v>15.358000000000001</v>
      </c>
      <c r="AD15" s="31">
        <v>12.339</v>
      </c>
      <c r="AE15" s="31">
        <v>7.4530000000000003</v>
      </c>
      <c r="AF15" s="31">
        <v>13.43</v>
      </c>
      <c r="AG15" s="31">
        <v>15.022</v>
      </c>
      <c r="AH15" s="31">
        <v>12.189</v>
      </c>
      <c r="AI15" s="31">
        <v>5.6890000000000001</v>
      </c>
      <c r="AJ15" s="31">
        <v>0.46200000000000002</v>
      </c>
      <c r="AK15" s="41">
        <f t="shared" si="4"/>
        <v>10.714555555555556</v>
      </c>
      <c r="AL15" s="41">
        <f t="shared" si="5"/>
        <v>4.8022839267977764</v>
      </c>
      <c r="AM15" s="31">
        <v>14.513</v>
      </c>
      <c r="AN15" s="31">
        <v>16.395</v>
      </c>
      <c r="AO15" s="31">
        <v>14.177</v>
      </c>
      <c r="AP15" s="31">
        <v>2.1909999999999998</v>
      </c>
      <c r="AQ15" s="31">
        <v>15.055999999999999</v>
      </c>
      <c r="AR15" s="31">
        <v>16.315999999999999</v>
      </c>
      <c r="AS15" s="31">
        <v>14.898999999999999</v>
      </c>
      <c r="AT15" s="31">
        <v>0.437</v>
      </c>
      <c r="AU15" s="31">
        <v>0.86799999999999999</v>
      </c>
      <c r="AV15" s="41">
        <f t="shared" si="6"/>
        <v>10.53911111111111</v>
      </c>
      <c r="AW15" s="41">
        <f t="shared" si="7"/>
        <v>6.6781136964871974</v>
      </c>
      <c r="AX15" s="31">
        <v>12.945</v>
      </c>
      <c r="AY15" s="31">
        <v>7.0609999999999999</v>
      </c>
      <c r="AZ15" s="31">
        <v>9.7929999999999993</v>
      </c>
      <c r="BA15" s="31">
        <v>0.77700000000000002</v>
      </c>
      <c r="BB15" s="31">
        <v>5.1139999999999999</v>
      </c>
      <c r="BC15" s="31">
        <v>13.451000000000001</v>
      </c>
      <c r="BD15" s="31">
        <v>13.89</v>
      </c>
      <c r="BE15" s="31">
        <v>0.88900000000000001</v>
      </c>
      <c r="BF15" s="31">
        <v>1.5649999999999999</v>
      </c>
      <c r="BG15" s="41">
        <f t="shared" si="8"/>
        <v>7.2761111111111108</v>
      </c>
      <c r="BH15" s="41">
        <f t="shared" si="9"/>
        <v>5.171666729926832</v>
      </c>
      <c r="BI15" s="38">
        <f t="shared" si="10"/>
        <v>9.467027777777778</v>
      </c>
      <c r="BJ15" s="29">
        <f t="shared" si="11"/>
        <v>5.8100432561313475</v>
      </c>
    </row>
    <row r="16" spans="1:66" x14ac:dyDescent="0.3">
      <c r="A16" s="39">
        <v>12</v>
      </c>
      <c r="B16" s="29">
        <v>0.25</v>
      </c>
      <c r="C16" s="29">
        <v>60</v>
      </c>
      <c r="D16" s="29">
        <v>40</v>
      </c>
      <c r="E16" s="34">
        <v>25</v>
      </c>
      <c r="F16" s="31">
        <v>2.536</v>
      </c>
      <c r="G16" s="31">
        <v>4.3730000000000002</v>
      </c>
      <c r="H16" s="31">
        <v>2.5289999999999999</v>
      </c>
      <c r="I16" s="31">
        <v>1.022</v>
      </c>
      <c r="J16" s="31">
        <v>0.85499999999999998</v>
      </c>
      <c r="K16" s="31">
        <v>3.8530000000000002</v>
      </c>
      <c r="L16" s="31">
        <v>2.8490000000000002</v>
      </c>
      <c r="M16" s="31">
        <v>0.52300000000000002</v>
      </c>
      <c r="N16" s="31">
        <v>2.6240000000000001</v>
      </c>
      <c r="O16" s="41">
        <f t="shared" si="0"/>
        <v>2.3515555555555556</v>
      </c>
      <c r="P16" s="41">
        <f t="shared" si="1"/>
        <v>1.2507228231094669</v>
      </c>
      <c r="Q16" s="31">
        <v>17.003</v>
      </c>
      <c r="R16" s="31">
        <v>19.036999999999999</v>
      </c>
      <c r="S16" s="31">
        <v>13.808</v>
      </c>
      <c r="T16" s="31">
        <v>0.66500000000000004</v>
      </c>
      <c r="U16" s="31">
        <v>14.205</v>
      </c>
      <c r="V16" s="31">
        <v>10.705</v>
      </c>
      <c r="W16" s="31">
        <v>12.48</v>
      </c>
      <c r="X16" s="31">
        <v>0.51300000000000001</v>
      </c>
      <c r="Y16" s="31">
        <v>2.887</v>
      </c>
      <c r="Z16" s="41">
        <f t="shared" si="2"/>
        <v>10.144777777777779</v>
      </c>
      <c r="AA16" s="41">
        <f t="shared" si="3"/>
        <v>6.6423825173030204</v>
      </c>
      <c r="AB16" s="31">
        <v>16.687000000000001</v>
      </c>
      <c r="AC16" s="31">
        <v>14.743</v>
      </c>
      <c r="AD16" s="31">
        <v>15.507999999999999</v>
      </c>
      <c r="AE16" s="31">
        <v>1.516</v>
      </c>
      <c r="AF16" s="31">
        <v>8.8800000000000008</v>
      </c>
      <c r="AG16" s="31">
        <v>15.367000000000001</v>
      </c>
      <c r="AH16" s="31">
        <v>13.975</v>
      </c>
      <c r="AI16" s="31">
        <v>0.96099999999999997</v>
      </c>
      <c r="AJ16" s="31">
        <v>0.46400000000000002</v>
      </c>
      <c r="AK16" s="41">
        <f t="shared" si="4"/>
        <v>9.7889999999999997</v>
      </c>
      <c r="AL16" s="41">
        <f t="shared" si="5"/>
        <v>6.5627414664571075</v>
      </c>
      <c r="AM16" s="31">
        <v>13.355</v>
      </c>
      <c r="AN16" s="31">
        <v>12.18</v>
      </c>
      <c r="AO16" s="31">
        <v>14.225</v>
      </c>
      <c r="AP16" s="31">
        <v>1.7769999999999999</v>
      </c>
      <c r="AQ16" s="31">
        <v>12.574</v>
      </c>
      <c r="AR16" s="31">
        <v>14.819000000000001</v>
      </c>
      <c r="AS16" s="31">
        <v>13.798</v>
      </c>
      <c r="AT16" s="31">
        <v>1.2490000000000001</v>
      </c>
      <c r="AU16" s="31">
        <v>1.0269999999999999</v>
      </c>
      <c r="AV16" s="41">
        <f t="shared" si="6"/>
        <v>9.4448888888888884</v>
      </c>
      <c r="AW16" s="41">
        <f t="shared" si="7"/>
        <v>5.7741879168213295</v>
      </c>
      <c r="AX16" s="31">
        <v>15.599</v>
      </c>
      <c r="AY16" s="31">
        <v>3.0510000000000002</v>
      </c>
      <c r="AZ16" s="31">
        <v>13.298</v>
      </c>
      <c r="BA16" s="31">
        <v>1.4750000000000001</v>
      </c>
      <c r="BB16" s="31">
        <v>12.835000000000001</v>
      </c>
      <c r="BC16" s="31">
        <v>10.858000000000001</v>
      </c>
      <c r="BD16" s="31">
        <v>13.269</v>
      </c>
      <c r="BE16" s="31">
        <v>0.49399999999999999</v>
      </c>
      <c r="BF16" s="31">
        <v>0.88500000000000001</v>
      </c>
      <c r="BG16" s="41">
        <f t="shared" si="8"/>
        <v>7.9737777777777792</v>
      </c>
      <c r="BH16" s="41">
        <f t="shared" si="9"/>
        <v>5.9548920463725121</v>
      </c>
      <c r="BI16" s="38">
        <f t="shared" si="10"/>
        <v>9.338111111111111</v>
      </c>
      <c r="BJ16" s="29">
        <f t="shared" si="11"/>
        <v>6.299198863426021</v>
      </c>
    </row>
    <row r="17" spans="1:62" x14ac:dyDescent="0.3">
      <c r="A17" s="39">
        <v>13</v>
      </c>
      <c r="B17" s="29">
        <v>0.5</v>
      </c>
      <c r="C17" s="29">
        <v>0</v>
      </c>
      <c r="D17" s="29">
        <v>60</v>
      </c>
      <c r="E17" s="34">
        <v>50</v>
      </c>
      <c r="F17" s="31">
        <v>7.8109999999999999</v>
      </c>
      <c r="G17" s="31">
        <v>0.8</v>
      </c>
      <c r="H17" s="31">
        <v>0.93200000000000005</v>
      </c>
      <c r="I17" s="31">
        <v>0.22</v>
      </c>
      <c r="J17" s="31">
        <v>12.72</v>
      </c>
      <c r="K17" s="31">
        <v>10.845000000000001</v>
      </c>
      <c r="L17" s="31">
        <v>0.83899999999999997</v>
      </c>
      <c r="M17" s="31">
        <v>0.47199999999999998</v>
      </c>
      <c r="N17" s="31">
        <v>7.0949999999999998</v>
      </c>
      <c r="O17" s="41">
        <f t="shared" si="0"/>
        <v>4.6371111111111114</v>
      </c>
      <c r="P17" s="41">
        <f t="shared" si="1"/>
        <v>4.7107643268592705</v>
      </c>
      <c r="Q17" s="31">
        <v>12.148999999999999</v>
      </c>
      <c r="R17" s="31">
        <v>8.4039999999999999</v>
      </c>
      <c r="S17" s="31">
        <v>15.984999999999999</v>
      </c>
      <c r="T17" s="31">
        <v>4.2549999999999999</v>
      </c>
      <c r="U17" s="31">
        <v>11.914999999999999</v>
      </c>
      <c r="V17" s="31">
        <v>24.236999999999998</v>
      </c>
      <c r="W17" s="31">
        <v>21.757999999999999</v>
      </c>
      <c r="X17" s="31">
        <v>0.30599999999999999</v>
      </c>
      <c r="Y17" s="31">
        <v>0.92300000000000004</v>
      </c>
      <c r="Z17" s="41">
        <f t="shared" si="2"/>
        <v>11.103555555555554</v>
      </c>
      <c r="AA17" s="41">
        <f t="shared" si="3"/>
        <v>8.0691847049419536</v>
      </c>
      <c r="AB17" s="31">
        <v>19.946000000000002</v>
      </c>
      <c r="AC17" s="31">
        <v>28.157</v>
      </c>
      <c r="AD17" s="31">
        <v>21.696999999999999</v>
      </c>
      <c r="AE17" s="31">
        <v>2.57</v>
      </c>
      <c r="AF17" s="31">
        <v>13.786</v>
      </c>
      <c r="AG17" s="31">
        <v>22.471</v>
      </c>
      <c r="AH17" s="31">
        <v>10.032999999999999</v>
      </c>
      <c r="AI17" s="31">
        <v>1.3240000000000001</v>
      </c>
      <c r="AJ17" s="31">
        <v>1.0169999999999999</v>
      </c>
      <c r="AK17" s="41">
        <f t="shared" si="4"/>
        <v>13.444555555555555</v>
      </c>
      <c r="AL17" s="41">
        <f t="shared" si="5"/>
        <v>9.6590061498308</v>
      </c>
      <c r="AM17" s="31">
        <v>10</v>
      </c>
      <c r="AN17" s="31">
        <v>23.527999999999999</v>
      </c>
      <c r="AO17" s="31">
        <v>17.344999999999999</v>
      </c>
      <c r="AP17" s="31">
        <v>0.94299999999999995</v>
      </c>
      <c r="AQ17" s="31">
        <v>18.428000000000001</v>
      </c>
      <c r="AR17" s="31">
        <v>22.141999999999999</v>
      </c>
      <c r="AS17" s="31">
        <v>26.661000000000001</v>
      </c>
      <c r="AT17" s="31">
        <v>0.54200000000000004</v>
      </c>
      <c r="AU17" s="31">
        <v>0.629</v>
      </c>
      <c r="AV17" s="41">
        <f t="shared" si="6"/>
        <v>13.357555555555557</v>
      </c>
      <c r="AW17" s="41">
        <f t="shared" si="7"/>
        <v>9.9490039603203044</v>
      </c>
      <c r="AX17" s="31">
        <v>12.64</v>
      </c>
      <c r="AY17" s="31">
        <v>28.978999999999999</v>
      </c>
      <c r="AZ17" s="31">
        <v>16.655999999999999</v>
      </c>
      <c r="BA17" s="31">
        <v>3.43</v>
      </c>
      <c r="BB17" s="31">
        <v>10.914999999999999</v>
      </c>
      <c r="BC17" s="31">
        <v>27.32</v>
      </c>
      <c r="BD17" s="31">
        <v>16.123000000000001</v>
      </c>
      <c r="BE17" s="31">
        <v>0.30499999999999999</v>
      </c>
      <c r="BF17" s="31">
        <v>2.907</v>
      </c>
      <c r="BG17" s="41">
        <f t="shared" si="8"/>
        <v>13.252777777777778</v>
      </c>
      <c r="BH17" s="41">
        <f t="shared" si="9"/>
        <v>9.6725765587019552</v>
      </c>
      <c r="BI17" s="38">
        <f t="shared" si="10"/>
        <v>12.78961111111111</v>
      </c>
      <c r="BJ17" s="29">
        <f t="shared" si="11"/>
        <v>9.4175153106614715</v>
      </c>
    </row>
    <row r="18" spans="1:62" x14ac:dyDescent="0.3">
      <c r="A18" s="39">
        <v>14</v>
      </c>
      <c r="B18" s="29">
        <v>0.5</v>
      </c>
      <c r="C18" s="29">
        <v>30</v>
      </c>
      <c r="D18" s="29">
        <v>50</v>
      </c>
      <c r="E18" s="34">
        <v>25</v>
      </c>
      <c r="F18" s="31">
        <v>6.6929999999999996</v>
      </c>
      <c r="G18" s="31">
        <v>1.2250000000000001</v>
      </c>
      <c r="H18" s="31">
        <v>2.0369999999999999</v>
      </c>
      <c r="I18" s="31">
        <v>2.6930000000000001</v>
      </c>
      <c r="J18" s="31">
        <v>2.7149999999999999</v>
      </c>
      <c r="K18" s="31">
        <v>0.13800000000000001</v>
      </c>
      <c r="L18" s="31">
        <v>8.2430000000000003</v>
      </c>
      <c r="M18" s="31">
        <v>0.17899999999999999</v>
      </c>
      <c r="N18" s="31">
        <v>9.6980000000000004</v>
      </c>
      <c r="O18" s="41">
        <f t="shared" si="0"/>
        <v>3.735666666666666</v>
      </c>
      <c r="P18" s="41">
        <f t="shared" si="1"/>
        <v>3.3586076149367488</v>
      </c>
      <c r="Q18" s="31">
        <v>15.486000000000001</v>
      </c>
      <c r="R18" s="31">
        <v>25.356999999999999</v>
      </c>
      <c r="S18" s="31">
        <v>25.026</v>
      </c>
      <c r="T18" s="31">
        <v>0.72799999999999998</v>
      </c>
      <c r="U18" s="31">
        <v>8.3879999999999999</v>
      </c>
      <c r="V18" s="31">
        <v>21.388999999999999</v>
      </c>
      <c r="W18" s="31">
        <v>18.998999999999999</v>
      </c>
      <c r="X18" s="31">
        <v>0.28699999999999998</v>
      </c>
      <c r="Y18" s="31">
        <v>0.94</v>
      </c>
      <c r="Z18" s="41">
        <f t="shared" si="2"/>
        <v>12.955555555555556</v>
      </c>
      <c r="AA18" s="41">
        <f t="shared" si="3"/>
        <v>9.9374843799861736</v>
      </c>
      <c r="AB18" s="31">
        <v>16.210999999999999</v>
      </c>
      <c r="AC18" s="31">
        <v>32.433</v>
      </c>
      <c r="AD18" s="31">
        <v>15.362</v>
      </c>
      <c r="AE18" s="31">
        <v>1.6120000000000001</v>
      </c>
      <c r="AF18" s="31">
        <v>13.347</v>
      </c>
      <c r="AG18" s="31">
        <v>22.571999999999999</v>
      </c>
      <c r="AH18" s="31">
        <v>20.148</v>
      </c>
      <c r="AI18" s="31">
        <v>1.9990000000000001</v>
      </c>
      <c r="AJ18" s="31">
        <v>0.627</v>
      </c>
      <c r="AK18" s="41">
        <f t="shared" si="4"/>
        <v>13.812333333333331</v>
      </c>
      <c r="AL18" s="41">
        <f t="shared" si="5"/>
        <v>10.18838803082542</v>
      </c>
      <c r="AM18" s="31">
        <v>16.707000000000001</v>
      </c>
      <c r="AN18" s="31">
        <v>18.478000000000002</v>
      </c>
      <c r="AO18" s="31">
        <v>13.555</v>
      </c>
      <c r="AP18" s="31">
        <v>1.139</v>
      </c>
      <c r="AQ18" s="31">
        <v>17.106999999999999</v>
      </c>
      <c r="AR18" s="31">
        <v>21.103000000000002</v>
      </c>
      <c r="AS18" s="31">
        <v>14.635</v>
      </c>
      <c r="AT18" s="31">
        <v>1.875</v>
      </c>
      <c r="AU18" s="31">
        <v>0.75</v>
      </c>
      <c r="AV18" s="41">
        <f t="shared" si="6"/>
        <v>11.705444444444446</v>
      </c>
      <c r="AW18" s="41">
        <f t="shared" si="7"/>
        <v>7.6643925628861602</v>
      </c>
      <c r="AX18" s="31">
        <v>16.939</v>
      </c>
      <c r="AY18" s="31">
        <v>10.247</v>
      </c>
      <c r="AZ18" s="31">
        <v>24.895</v>
      </c>
      <c r="BA18" s="31">
        <v>0.57399999999999995</v>
      </c>
      <c r="BB18" s="31">
        <v>13.472</v>
      </c>
      <c r="BC18" s="31">
        <v>24.867999999999999</v>
      </c>
      <c r="BD18" s="31">
        <v>0.47399999999999998</v>
      </c>
      <c r="BE18" s="31">
        <v>0.41599999999999998</v>
      </c>
      <c r="BF18" s="31">
        <v>0.61</v>
      </c>
      <c r="BG18" s="41">
        <f t="shared" si="8"/>
        <v>10.277222222222221</v>
      </c>
      <c r="BH18" s="41">
        <f t="shared" si="9"/>
        <v>9.7872456774425221</v>
      </c>
      <c r="BI18" s="38">
        <f t="shared" si="10"/>
        <v>12.187638888888888</v>
      </c>
      <c r="BJ18" s="29">
        <f t="shared" si="11"/>
        <v>9.5420316120973592</v>
      </c>
    </row>
    <row r="19" spans="1:62" x14ac:dyDescent="0.3">
      <c r="A19" s="39">
        <v>15</v>
      </c>
      <c r="B19" s="29">
        <v>0.5</v>
      </c>
      <c r="C19" s="29">
        <v>45</v>
      </c>
      <c r="D19" s="29">
        <v>40</v>
      </c>
      <c r="E19" s="34">
        <v>100</v>
      </c>
      <c r="F19" s="31">
        <v>21.562000000000001</v>
      </c>
      <c r="G19" s="31">
        <v>1.9670000000000001</v>
      </c>
      <c r="H19" s="31">
        <v>4.3659999999999997</v>
      </c>
      <c r="I19" s="31">
        <v>16.463000000000001</v>
      </c>
      <c r="J19" s="31">
        <v>0.84099999999999997</v>
      </c>
      <c r="K19" s="31">
        <v>1.2210000000000001</v>
      </c>
      <c r="L19" s="31">
        <v>15.131</v>
      </c>
      <c r="M19" s="31">
        <v>13.111000000000001</v>
      </c>
      <c r="N19" s="31">
        <v>11.815</v>
      </c>
      <c r="O19" s="41">
        <f t="shared" si="0"/>
        <v>9.6085555555555562</v>
      </c>
      <c r="P19" s="41">
        <f t="shared" si="1"/>
        <v>7.2311058645750297</v>
      </c>
      <c r="Q19" s="31">
        <v>20.071999999999999</v>
      </c>
      <c r="R19" s="31">
        <v>22.818999999999999</v>
      </c>
      <c r="S19" s="31">
        <v>15.750999999999999</v>
      </c>
      <c r="T19" s="31">
        <v>0.82</v>
      </c>
      <c r="U19" s="31">
        <v>15.074999999999999</v>
      </c>
      <c r="V19" s="31">
        <v>22.777999999999999</v>
      </c>
      <c r="W19" s="31">
        <v>16.437999999999999</v>
      </c>
      <c r="X19" s="31">
        <v>1.5649999999999999</v>
      </c>
      <c r="Y19" s="31">
        <v>0.97199999999999998</v>
      </c>
      <c r="Z19" s="41">
        <f t="shared" si="2"/>
        <v>12.921111111111109</v>
      </c>
      <c r="AA19" s="41">
        <f t="shared" si="3"/>
        <v>8.7525050184941549</v>
      </c>
      <c r="AB19" s="31">
        <v>18.091000000000001</v>
      </c>
      <c r="AC19" s="31">
        <v>6.218</v>
      </c>
      <c r="AD19" s="31">
        <v>21.721</v>
      </c>
      <c r="AE19" s="31">
        <v>0.625</v>
      </c>
      <c r="AF19" s="31">
        <v>16.390999999999998</v>
      </c>
      <c r="AG19" s="31">
        <v>20.042999999999999</v>
      </c>
      <c r="AH19" s="31">
        <v>20.922999999999998</v>
      </c>
      <c r="AI19" s="31">
        <v>0.50700000000000001</v>
      </c>
      <c r="AJ19" s="31">
        <v>0.42699999999999999</v>
      </c>
      <c r="AK19" s="41">
        <f t="shared" si="4"/>
        <v>11.660666666666668</v>
      </c>
      <c r="AL19" s="41">
        <f t="shared" si="5"/>
        <v>8.962873943849333</v>
      </c>
      <c r="AM19" s="31">
        <v>3.4790000000000001</v>
      </c>
      <c r="AN19" s="31">
        <v>12.49</v>
      </c>
      <c r="AO19" s="31">
        <v>22.35</v>
      </c>
      <c r="AP19" s="31">
        <v>20.641999999999999</v>
      </c>
      <c r="AQ19" s="31">
        <v>0.749</v>
      </c>
      <c r="AR19" s="31">
        <v>13.868</v>
      </c>
      <c r="AS19" s="31">
        <v>28.526</v>
      </c>
      <c r="AT19" s="31">
        <v>21.367999999999999</v>
      </c>
      <c r="AU19" s="31">
        <v>1.1839999999999999</v>
      </c>
      <c r="AV19" s="41">
        <f t="shared" si="6"/>
        <v>13.850666666666665</v>
      </c>
      <c r="AW19" s="41">
        <f t="shared" si="7"/>
        <v>9.6134043108799094</v>
      </c>
      <c r="AX19" s="31">
        <v>16.64</v>
      </c>
      <c r="AY19" s="31">
        <v>18.603000000000002</v>
      </c>
      <c r="AZ19" s="31">
        <v>19.54</v>
      </c>
      <c r="BA19" s="31">
        <v>1.325</v>
      </c>
      <c r="BB19" s="31">
        <v>20.385000000000002</v>
      </c>
      <c r="BC19" s="31">
        <v>21.103999999999999</v>
      </c>
      <c r="BD19" s="31">
        <v>16.652000000000001</v>
      </c>
      <c r="BE19" s="31">
        <v>0.33800000000000002</v>
      </c>
      <c r="BF19" s="31">
        <v>0.71899999999999997</v>
      </c>
      <c r="BG19" s="41">
        <f t="shared" si="8"/>
        <v>12.811777777777777</v>
      </c>
      <c r="BH19" s="41">
        <f t="shared" si="9"/>
        <v>8.615882849943505</v>
      </c>
      <c r="BI19" s="38">
        <f t="shared" si="10"/>
        <v>12.811055555555555</v>
      </c>
      <c r="BJ19" s="29">
        <f t="shared" si="11"/>
        <v>9.0278282516537711</v>
      </c>
    </row>
    <row r="20" spans="1:62" x14ac:dyDescent="0.3">
      <c r="A20" s="39">
        <v>16</v>
      </c>
      <c r="B20" s="29">
        <v>0.5</v>
      </c>
      <c r="C20" s="29">
        <v>60</v>
      </c>
      <c r="D20" s="29">
        <v>30</v>
      </c>
      <c r="E20" s="34">
        <v>75</v>
      </c>
      <c r="F20" s="31">
        <v>2.6819999999999999</v>
      </c>
      <c r="G20" s="31">
        <v>7.6999999999999999E-2</v>
      </c>
      <c r="H20" s="31">
        <v>9.4760000000000009</v>
      </c>
      <c r="I20" s="31">
        <v>4.4999999999999998E-2</v>
      </c>
      <c r="J20" s="31">
        <v>2.0539999999999998</v>
      </c>
      <c r="K20" s="31">
        <v>5.1589999999999998</v>
      </c>
      <c r="L20" s="31">
        <v>8.9049999999999994</v>
      </c>
      <c r="M20" s="31">
        <v>16.382000000000001</v>
      </c>
      <c r="N20" s="31">
        <v>2.6459999999999999</v>
      </c>
      <c r="O20" s="41">
        <f t="shared" si="0"/>
        <v>5.2695555555555558</v>
      </c>
      <c r="P20" s="41">
        <f t="shared" si="1"/>
        <v>5.0835920614181438</v>
      </c>
      <c r="Q20" s="31">
        <v>15.946</v>
      </c>
      <c r="R20" s="31">
        <v>30.199000000000002</v>
      </c>
      <c r="S20" s="31">
        <v>15.994999999999999</v>
      </c>
      <c r="T20" s="31">
        <v>2.5489999999999999</v>
      </c>
      <c r="U20" s="31">
        <v>14.76</v>
      </c>
      <c r="V20" s="31">
        <v>25.065999999999999</v>
      </c>
      <c r="W20" s="31">
        <v>20.832000000000001</v>
      </c>
      <c r="X20" s="31">
        <v>9.39</v>
      </c>
      <c r="Y20" s="31">
        <v>1.046</v>
      </c>
      <c r="Z20" s="41">
        <f t="shared" si="2"/>
        <v>15.087000000000002</v>
      </c>
      <c r="AA20" s="41">
        <f t="shared" si="3"/>
        <v>9.1252654025330511</v>
      </c>
      <c r="AB20" s="31">
        <v>21.393000000000001</v>
      </c>
      <c r="AC20" s="31">
        <v>25.718</v>
      </c>
      <c r="AD20" s="31">
        <v>20.617999999999999</v>
      </c>
      <c r="AE20" s="31">
        <v>2.3069999999999999</v>
      </c>
      <c r="AF20" s="31">
        <v>14.539</v>
      </c>
      <c r="AG20" s="31">
        <v>22.574000000000002</v>
      </c>
      <c r="AH20" s="31">
        <v>15.778</v>
      </c>
      <c r="AI20" s="31">
        <v>0.55500000000000005</v>
      </c>
      <c r="AJ20" s="31">
        <v>3.4580000000000002</v>
      </c>
      <c r="AK20" s="41">
        <f t="shared" si="4"/>
        <v>14.104444444444447</v>
      </c>
      <c r="AL20" s="41">
        <f t="shared" si="5"/>
        <v>9.0753698315962232</v>
      </c>
      <c r="AM20" s="31">
        <v>14.2</v>
      </c>
      <c r="AN20" s="31">
        <v>21.905000000000001</v>
      </c>
      <c r="AO20" s="31">
        <v>19.553999999999998</v>
      </c>
      <c r="AP20" s="31">
        <v>0.498</v>
      </c>
      <c r="AQ20" s="31">
        <v>14.013</v>
      </c>
      <c r="AR20" s="31">
        <v>21.103000000000002</v>
      </c>
      <c r="AS20" s="31">
        <v>14.27</v>
      </c>
      <c r="AT20" s="31">
        <v>1.29</v>
      </c>
      <c r="AU20" s="31">
        <v>0.86799999999999999</v>
      </c>
      <c r="AV20" s="41">
        <f t="shared" si="6"/>
        <v>11.966777777777777</v>
      </c>
      <c r="AW20" s="41">
        <f t="shared" si="7"/>
        <v>8.3199440005831491</v>
      </c>
      <c r="AX20" s="31">
        <v>13.776</v>
      </c>
      <c r="AY20" s="31">
        <v>22.634</v>
      </c>
      <c r="AZ20" s="31">
        <v>22.834</v>
      </c>
      <c r="BA20" s="31">
        <v>5.2169999999999996</v>
      </c>
      <c r="BB20" s="31">
        <v>14.247</v>
      </c>
      <c r="BC20" s="31">
        <v>22.658000000000001</v>
      </c>
      <c r="BD20" s="31">
        <v>20.302</v>
      </c>
      <c r="BE20" s="31">
        <v>0.92800000000000005</v>
      </c>
      <c r="BF20" s="31">
        <v>0.45500000000000002</v>
      </c>
      <c r="BG20" s="41">
        <f t="shared" si="8"/>
        <v>13.672333333333334</v>
      </c>
      <c r="BH20" s="41">
        <f t="shared" si="9"/>
        <v>8.8058810777545471</v>
      </c>
      <c r="BI20" s="38">
        <f t="shared" si="10"/>
        <v>13.707638888888891</v>
      </c>
      <c r="BJ20" s="29">
        <f t="shared" si="11"/>
        <v>8.9091210507758056</v>
      </c>
    </row>
  </sheetData>
  <mergeCells count="8">
    <mergeCell ref="BJ3:BJ4"/>
    <mergeCell ref="BI3:BI4"/>
    <mergeCell ref="A3:A4"/>
    <mergeCell ref="F3:P3"/>
    <mergeCell ref="Q3:AA3"/>
    <mergeCell ref="AB3:AL3"/>
    <mergeCell ref="AM3:AW3"/>
    <mergeCell ref="AX3:BH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21"/>
  <sheetViews>
    <sheetView topLeftCell="AE2" workbookViewId="0">
      <selection activeCell="AY21" sqref="AY21"/>
    </sheetView>
  </sheetViews>
  <sheetFormatPr defaultRowHeight="14.4" x14ac:dyDescent="0.3"/>
  <cols>
    <col min="1" max="1" width="15.88671875" customWidth="1"/>
    <col min="3" max="3" width="11.21875" customWidth="1"/>
    <col min="41" max="42" width="16.6640625" customWidth="1"/>
    <col min="49" max="49" width="12.33203125" customWidth="1"/>
  </cols>
  <sheetData>
    <row r="1" spans="1:49" x14ac:dyDescent="0.3">
      <c r="A1" s="3" t="s">
        <v>51</v>
      </c>
    </row>
    <row r="3" spans="1:49" ht="27.6" customHeight="1" x14ac:dyDescent="0.3">
      <c r="A3" s="53" t="s">
        <v>24</v>
      </c>
      <c r="B3" s="32" t="s">
        <v>25</v>
      </c>
      <c r="C3" s="32" t="s">
        <v>27</v>
      </c>
      <c r="D3" s="32" t="s">
        <v>18</v>
      </c>
      <c r="E3" s="32" t="s">
        <v>20</v>
      </c>
      <c r="F3" s="54" t="s">
        <v>44</v>
      </c>
      <c r="G3" s="55"/>
      <c r="H3" s="55"/>
      <c r="I3" s="55"/>
      <c r="J3" s="55"/>
      <c r="K3" s="55"/>
      <c r="L3" s="56"/>
      <c r="M3" s="54" t="s">
        <v>45</v>
      </c>
      <c r="N3" s="55"/>
      <c r="O3" s="55"/>
      <c r="P3" s="55"/>
      <c r="Q3" s="55"/>
      <c r="R3" s="55"/>
      <c r="S3" s="56"/>
      <c r="T3" s="54" t="s">
        <v>46</v>
      </c>
      <c r="U3" s="55"/>
      <c r="V3" s="55"/>
      <c r="W3" s="55"/>
      <c r="X3" s="55"/>
      <c r="Y3" s="55"/>
      <c r="Z3" s="56"/>
      <c r="AA3" s="54" t="s">
        <v>47</v>
      </c>
      <c r="AB3" s="55"/>
      <c r="AC3" s="55"/>
      <c r="AD3" s="55"/>
      <c r="AE3" s="55"/>
      <c r="AF3" s="55"/>
      <c r="AG3" s="56"/>
      <c r="AH3" s="54" t="s">
        <v>48</v>
      </c>
      <c r="AI3" s="55"/>
      <c r="AJ3" s="55"/>
      <c r="AK3" s="55"/>
      <c r="AL3" s="55"/>
      <c r="AM3" s="55"/>
      <c r="AN3" s="56"/>
      <c r="AO3" s="53" t="s">
        <v>49</v>
      </c>
      <c r="AP3" s="57" t="s">
        <v>66</v>
      </c>
      <c r="AQ3" s="53" t="s">
        <v>50</v>
      </c>
      <c r="AR3" s="53"/>
      <c r="AS3" s="53"/>
      <c r="AT3" s="53"/>
      <c r="AU3" s="53"/>
      <c r="AV3" s="53"/>
      <c r="AW3" s="53"/>
    </row>
    <row r="4" spans="1:49" ht="27.6" x14ac:dyDescent="0.3">
      <c r="A4" s="53"/>
      <c r="B4" s="32" t="s">
        <v>26</v>
      </c>
      <c r="C4" s="32" t="s">
        <v>30</v>
      </c>
      <c r="D4" s="32" t="s">
        <v>28</v>
      </c>
      <c r="E4" s="32" t="s">
        <v>29</v>
      </c>
      <c r="F4" s="32" t="s">
        <v>32</v>
      </c>
      <c r="G4" s="32" t="s">
        <v>33</v>
      </c>
      <c r="H4" s="32" t="s">
        <v>34</v>
      </c>
      <c r="I4" s="32" t="s">
        <v>35</v>
      </c>
      <c r="J4" s="32" t="s">
        <v>36</v>
      </c>
      <c r="K4" s="32" t="s">
        <v>38</v>
      </c>
      <c r="L4" s="32" t="s">
        <v>64</v>
      </c>
      <c r="M4" s="32" t="s">
        <v>32</v>
      </c>
      <c r="N4" s="32" t="s">
        <v>33</v>
      </c>
      <c r="O4" s="32" t="s">
        <v>34</v>
      </c>
      <c r="P4" s="32" t="s">
        <v>35</v>
      </c>
      <c r="Q4" s="32" t="s">
        <v>36</v>
      </c>
      <c r="R4" s="32" t="s">
        <v>38</v>
      </c>
      <c r="S4" s="32" t="s">
        <v>64</v>
      </c>
      <c r="T4" s="32" t="s">
        <v>32</v>
      </c>
      <c r="U4" s="32" t="s">
        <v>33</v>
      </c>
      <c r="V4" s="32" t="s">
        <v>34</v>
      </c>
      <c r="W4" s="32" t="s">
        <v>35</v>
      </c>
      <c r="X4" s="32" t="s">
        <v>36</v>
      </c>
      <c r="Y4" s="32" t="s">
        <v>38</v>
      </c>
      <c r="Z4" s="32" t="s">
        <v>64</v>
      </c>
      <c r="AA4" s="32" t="s">
        <v>32</v>
      </c>
      <c r="AB4" s="32" t="s">
        <v>33</v>
      </c>
      <c r="AC4" s="32" t="s">
        <v>34</v>
      </c>
      <c r="AD4" s="32" t="s">
        <v>35</v>
      </c>
      <c r="AE4" s="32" t="s">
        <v>36</v>
      </c>
      <c r="AF4" s="32" t="s">
        <v>38</v>
      </c>
      <c r="AG4" s="32" t="s">
        <v>64</v>
      </c>
      <c r="AH4" s="32" t="s">
        <v>32</v>
      </c>
      <c r="AI4" s="32" t="s">
        <v>33</v>
      </c>
      <c r="AJ4" s="32" t="s">
        <v>34</v>
      </c>
      <c r="AK4" s="32" t="s">
        <v>35</v>
      </c>
      <c r="AL4" s="32" t="s">
        <v>36</v>
      </c>
      <c r="AM4" s="32" t="s">
        <v>38</v>
      </c>
      <c r="AN4" s="32" t="s">
        <v>64</v>
      </c>
      <c r="AO4" s="53"/>
      <c r="AP4" s="58"/>
      <c r="AQ4" s="32" t="s">
        <v>32</v>
      </c>
      <c r="AR4" s="32" t="s">
        <v>33</v>
      </c>
      <c r="AS4" s="32" t="s">
        <v>34</v>
      </c>
      <c r="AT4" s="32" t="s">
        <v>35</v>
      </c>
      <c r="AU4" s="32" t="s">
        <v>36</v>
      </c>
      <c r="AV4" s="32" t="s">
        <v>38</v>
      </c>
      <c r="AW4" s="32" t="s">
        <v>64</v>
      </c>
    </row>
    <row r="5" spans="1:49" x14ac:dyDescent="0.3">
      <c r="A5" s="39">
        <v>1</v>
      </c>
      <c r="B5" s="29">
        <v>0.08</v>
      </c>
      <c r="C5" s="29">
        <v>0</v>
      </c>
      <c r="D5" s="29">
        <v>30</v>
      </c>
      <c r="E5" s="29">
        <v>25</v>
      </c>
      <c r="F5" s="30">
        <v>43.5</v>
      </c>
      <c r="G5" s="30">
        <v>35.5</v>
      </c>
      <c r="H5" s="30">
        <v>34</v>
      </c>
      <c r="I5" s="30">
        <v>37.5</v>
      </c>
      <c r="J5" s="30">
        <v>33.5</v>
      </c>
      <c r="K5" s="29">
        <f>AVERAGE(F5:J5)</f>
        <v>36.799999999999997</v>
      </c>
      <c r="L5" s="29">
        <f>_xlfn.STDEV.P(F5:J5)</f>
        <v>3.6276714294434109</v>
      </c>
      <c r="M5" s="30">
        <v>43.5</v>
      </c>
      <c r="N5" s="30">
        <v>45</v>
      </c>
      <c r="O5" s="30">
        <v>61.5</v>
      </c>
      <c r="P5" s="30">
        <v>46.5</v>
      </c>
      <c r="Q5" s="30">
        <v>53</v>
      </c>
      <c r="R5" s="29">
        <f>AVERAGE(M5:Q5)</f>
        <v>49.9</v>
      </c>
      <c r="S5" s="29">
        <f>_xlfn.STDEV.P(M5:Q5)</f>
        <v>6.6437940967492359</v>
      </c>
      <c r="T5" s="29">
        <v>57</v>
      </c>
      <c r="U5" s="29">
        <v>55</v>
      </c>
      <c r="V5" s="29">
        <v>53.5</v>
      </c>
      <c r="W5" s="29">
        <v>44.5</v>
      </c>
      <c r="X5" s="29">
        <v>54</v>
      </c>
      <c r="Y5" s="29">
        <f>AVERAGE(T5:X5)</f>
        <v>52.8</v>
      </c>
      <c r="Z5" s="29">
        <f>_xlfn.STDEV.P(T5:X5)</f>
        <v>4.319722213291036</v>
      </c>
      <c r="AA5" s="29">
        <v>36.5</v>
      </c>
      <c r="AB5" s="29">
        <v>49.5</v>
      </c>
      <c r="AC5" s="29">
        <v>40</v>
      </c>
      <c r="AD5" s="29">
        <v>45.5</v>
      </c>
      <c r="AE5" s="29">
        <v>45.5</v>
      </c>
      <c r="AF5" s="29">
        <f>AVERAGE(AA5:AE5)</f>
        <v>43.4</v>
      </c>
      <c r="AG5" s="29">
        <f>_xlfn.STDEV.P(AA5:AE5)</f>
        <v>4.5869379764718863</v>
      </c>
      <c r="AH5" s="29">
        <v>46.5</v>
      </c>
      <c r="AI5" s="29">
        <v>50</v>
      </c>
      <c r="AJ5" s="29">
        <v>40</v>
      </c>
      <c r="AK5" s="29">
        <v>46</v>
      </c>
      <c r="AL5" s="29">
        <v>51</v>
      </c>
      <c r="AM5" s="37">
        <f>AVERAGE(AH5:AL5)</f>
        <v>46.7</v>
      </c>
      <c r="AN5" s="37">
        <f>_xlfn.STDEV.P(AH5:AL5)</f>
        <v>3.8678159211627432</v>
      </c>
      <c r="AO5" s="37">
        <f>AVERAGE(AM5,R5,Y5,AF5)</f>
        <v>48.199999999999996</v>
      </c>
      <c r="AP5" s="37">
        <f>_xlfn.STDEV.P(M5:Q5,T5:X5,AA5:AE5,AH5:AL5)</f>
        <v>6.085638832530238</v>
      </c>
      <c r="AQ5" s="29">
        <v>28</v>
      </c>
      <c r="AR5" s="29">
        <v>28</v>
      </c>
      <c r="AS5" s="29">
        <v>23</v>
      </c>
      <c r="AT5" s="29">
        <v>23</v>
      </c>
      <c r="AU5" s="29">
        <v>22.5</v>
      </c>
      <c r="AV5" s="37">
        <f>AVERAGE(AQ5:AU5)</f>
        <v>24.9</v>
      </c>
      <c r="AW5" s="41">
        <f>_xlfn.STDEV.P(AQ5:AU5)</f>
        <v>2.5377155080899043</v>
      </c>
    </row>
    <row r="6" spans="1:49" x14ac:dyDescent="0.3">
      <c r="A6" s="39">
        <v>2</v>
      </c>
      <c r="B6" s="29">
        <v>0.08</v>
      </c>
      <c r="C6" s="29">
        <v>30</v>
      </c>
      <c r="D6" s="29">
        <v>40</v>
      </c>
      <c r="E6" s="29">
        <v>50</v>
      </c>
      <c r="F6" s="30">
        <v>39</v>
      </c>
      <c r="G6" s="30">
        <v>32.5</v>
      </c>
      <c r="H6" s="30">
        <v>35.5</v>
      </c>
      <c r="I6" s="30">
        <v>26</v>
      </c>
      <c r="J6" s="30">
        <v>25</v>
      </c>
      <c r="K6" s="29">
        <f t="shared" ref="K6:K20" si="0">AVERAGE(F6:J6)</f>
        <v>31.6</v>
      </c>
      <c r="L6" s="29">
        <f t="shared" ref="L6:L20" si="1">_xlfn.STDEV.P(F6:J6)</f>
        <v>5.3981478305063115</v>
      </c>
      <c r="M6" s="30">
        <v>40</v>
      </c>
      <c r="N6" s="30">
        <v>44</v>
      </c>
      <c r="O6" s="30">
        <v>35</v>
      </c>
      <c r="P6" s="30">
        <v>26</v>
      </c>
      <c r="Q6" s="30">
        <v>26</v>
      </c>
      <c r="R6" s="29">
        <f t="shared" ref="R6:R20" si="2">AVERAGE(M6:Q6)</f>
        <v>34.200000000000003</v>
      </c>
      <c r="S6" s="29">
        <f t="shared" ref="S6:S20" si="3">_xlfn.STDEV.P(M6:Q6)</f>
        <v>7.2773621594641007</v>
      </c>
      <c r="T6" s="29">
        <v>37</v>
      </c>
      <c r="U6" s="29">
        <v>36</v>
      </c>
      <c r="V6" s="29">
        <v>30</v>
      </c>
      <c r="W6" s="29">
        <v>47.5</v>
      </c>
      <c r="X6" s="29">
        <v>32</v>
      </c>
      <c r="Y6" s="29">
        <f t="shared" ref="Y6:Y20" si="4">AVERAGE(T6:X6)</f>
        <v>36.5</v>
      </c>
      <c r="Z6" s="29">
        <f t="shared" ref="Z6:Z20" si="5">_xlfn.STDEV.P(T6:X6)</f>
        <v>6.06630035524124</v>
      </c>
      <c r="AA6" s="29">
        <v>49.5</v>
      </c>
      <c r="AB6" s="29">
        <v>42.5</v>
      </c>
      <c r="AC6" s="29">
        <v>42</v>
      </c>
      <c r="AD6" s="29">
        <v>48</v>
      </c>
      <c r="AE6" s="29">
        <v>42</v>
      </c>
      <c r="AF6" s="29">
        <f t="shared" ref="AF6:AF20" si="6">AVERAGE(AA6:AE6)</f>
        <v>44.8</v>
      </c>
      <c r="AG6" s="29">
        <f t="shared" ref="AG6:AG20" si="7">_xlfn.STDEV.P(AA6:AE6)</f>
        <v>3.2649655434629015</v>
      </c>
      <c r="AH6" s="29">
        <v>53</v>
      </c>
      <c r="AI6" s="29">
        <v>52</v>
      </c>
      <c r="AJ6" s="29">
        <v>47</v>
      </c>
      <c r="AK6" s="29">
        <v>49.5</v>
      </c>
      <c r="AL6" s="29">
        <v>48.5</v>
      </c>
      <c r="AM6" s="37">
        <f t="shared" ref="AM6:AM20" si="8">AVERAGE(AH6:AL6)</f>
        <v>50</v>
      </c>
      <c r="AN6" s="37">
        <f t="shared" ref="AN6:AN20" si="9">_xlfn.STDEV.P(AH6:AL6)</f>
        <v>2.2135943621178655</v>
      </c>
      <c r="AO6" s="37">
        <f>AVERAGE(AM6,R6,Y6,AF6)</f>
        <v>41.375</v>
      </c>
      <c r="AP6" s="37">
        <f t="shared" ref="AP6:AP20" si="10">_xlfn.STDEV.P(M6:Q6,T6:X6,AA6:AE6,AH6:AL6)</f>
        <v>8.1652847470250531</v>
      </c>
      <c r="AQ6" s="29">
        <v>35</v>
      </c>
      <c r="AR6" s="29">
        <v>38</v>
      </c>
      <c r="AS6" s="29">
        <v>25.5</v>
      </c>
      <c r="AT6" s="29">
        <v>40</v>
      </c>
      <c r="AU6" s="29">
        <v>70</v>
      </c>
      <c r="AV6" s="37">
        <f t="shared" ref="AV6:AV20" si="11">AVERAGE(AQ6:AU6)</f>
        <v>41.7</v>
      </c>
      <c r="AW6" s="41">
        <f t="shared" ref="AW6:AW20" si="12">_xlfn.STDEV.P(AQ6:AU6)</f>
        <v>14.998666607402139</v>
      </c>
    </row>
    <row r="7" spans="1:49" x14ac:dyDescent="0.3">
      <c r="A7" s="39">
        <v>3</v>
      </c>
      <c r="B7" s="29">
        <v>0.08</v>
      </c>
      <c r="C7" s="29">
        <v>45</v>
      </c>
      <c r="D7" s="29">
        <v>50</v>
      </c>
      <c r="E7" s="29">
        <v>75</v>
      </c>
      <c r="F7" s="30">
        <v>51.5</v>
      </c>
      <c r="G7" s="30">
        <v>64.5</v>
      </c>
      <c r="H7" s="30">
        <v>72</v>
      </c>
      <c r="I7" s="30">
        <v>65.5</v>
      </c>
      <c r="J7" s="30">
        <v>71</v>
      </c>
      <c r="K7" s="29">
        <f t="shared" si="0"/>
        <v>64.900000000000006</v>
      </c>
      <c r="L7" s="29">
        <f t="shared" si="1"/>
        <v>7.3171032519706865</v>
      </c>
      <c r="M7" s="30">
        <v>68.5</v>
      </c>
      <c r="N7" s="30">
        <v>48</v>
      </c>
      <c r="O7" s="30">
        <v>67</v>
      </c>
      <c r="P7" s="30">
        <v>71.5</v>
      </c>
      <c r="Q7" s="30">
        <v>66.5</v>
      </c>
      <c r="R7" s="29">
        <f t="shared" si="2"/>
        <v>64.3</v>
      </c>
      <c r="S7" s="29">
        <f t="shared" si="3"/>
        <v>8.3342666144058519</v>
      </c>
      <c r="T7" s="29">
        <v>60</v>
      </c>
      <c r="U7" s="29">
        <v>64</v>
      </c>
      <c r="V7" s="29">
        <v>62</v>
      </c>
      <c r="W7" s="29">
        <v>69</v>
      </c>
      <c r="X7" s="29">
        <v>71.5</v>
      </c>
      <c r="Y7" s="29">
        <f t="shared" si="4"/>
        <v>65.3</v>
      </c>
      <c r="Z7" s="29">
        <f t="shared" si="5"/>
        <v>4.308131845707603</v>
      </c>
      <c r="AA7" s="29">
        <v>73</v>
      </c>
      <c r="AB7" s="29">
        <v>58.5</v>
      </c>
      <c r="AC7" s="29">
        <v>76.5</v>
      </c>
      <c r="AD7" s="29">
        <v>74</v>
      </c>
      <c r="AE7" s="29">
        <v>76.5</v>
      </c>
      <c r="AF7" s="29">
        <f t="shared" si="6"/>
        <v>71.7</v>
      </c>
      <c r="AG7" s="29">
        <f t="shared" si="7"/>
        <v>6.7424031324150286</v>
      </c>
      <c r="AH7" s="29">
        <v>72.5</v>
      </c>
      <c r="AI7" s="29">
        <v>76.5</v>
      </c>
      <c r="AJ7" s="29">
        <v>68</v>
      </c>
      <c r="AK7" s="29">
        <v>73</v>
      </c>
      <c r="AL7" s="29">
        <v>75</v>
      </c>
      <c r="AM7" s="37">
        <f t="shared" si="8"/>
        <v>73</v>
      </c>
      <c r="AN7" s="37">
        <f t="shared" si="9"/>
        <v>2.8809720581775866</v>
      </c>
      <c r="AO7" s="37">
        <f t="shared" ref="AO7:AO20" si="13">AVERAGE(AM7,R7,Y7,AF7)</f>
        <v>68.575000000000003</v>
      </c>
      <c r="AP7" s="37">
        <f t="shared" si="10"/>
        <v>7.0733213556291927</v>
      </c>
      <c r="AQ7" s="29">
        <v>72.5</v>
      </c>
      <c r="AR7" s="29">
        <v>70.5</v>
      </c>
      <c r="AS7" s="29">
        <v>73.5</v>
      </c>
      <c r="AT7" s="29">
        <v>68</v>
      </c>
      <c r="AU7" s="29">
        <v>69.5</v>
      </c>
      <c r="AV7" s="37">
        <f t="shared" si="11"/>
        <v>70.8</v>
      </c>
      <c r="AW7" s="41">
        <f t="shared" si="12"/>
        <v>1.9899748742132399</v>
      </c>
    </row>
    <row r="8" spans="1:49" x14ac:dyDescent="0.3">
      <c r="A8" s="39">
        <v>4</v>
      </c>
      <c r="B8" s="29">
        <v>0.08</v>
      </c>
      <c r="C8" s="29">
        <v>60</v>
      </c>
      <c r="D8" s="29">
        <v>60</v>
      </c>
      <c r="E8" s="29">
        <v>100</v>
      </c>
      <c r="F8" s="30">
        <v>70.5</v>
      </c>
      <c r="G8" s="30">
        <v>69.5</v>
      </c>
      <c r="H8" s="30">
        <v>76.5</v>
      </c>
      <c r="I8" s="30">
        <v>76.5</v>
      </c>
      <c r="J8" s="30">
        <v>76</v>
      </c>
      <c r="K8" s="29">
        <f t="shared" si="0"/>
        <v>73.8</v>
      </c>
      <c r="L8" s="29">
        <f t="shared" si="1"/>
        <v>3.1240998703626617</v>
      </c>
      <c r="M8" s="30">
        <v>75</v>
      </c>
      <c r="N8" s="30">
        <v>73.5</v>
      </c>
      <c r="O8" s="30">
        <v>69</v>
      </c>
      <c r="P8" s="30">
        <v>78</v>
      </c>
      <c r="Q8" s="30">
        <v>78</v>
      </c>
      <c r="R8" s="29">
        <f t="shared" si="2"/>
        <v>74.7</v>
      </c>
      <c r="S8" s="29">
        <f t="shared" si="3"/>
        <v>3.3406586176980131</v>
      </c>
      <c r="T8" s="29">
        <v>74.5</v>
      </c>
      <c r="U8" s="29">
        <v>79</v>
      </c>
      <c r="V8" s="29">
        <v>77</v>
      </c>
      <c r="W8" s="29">
        <v>73</v>
      </c>
      <c r="X8" s="29">
        <v>70.5</v>
      </c>
      <c r="Y8" s="29">
        <f t="shared" si="4"/>
        <v>74.8</v>
      </c>
      <c r="Z8" s="29">
        <f t="shared" si="5"/>
        <v>2.9765752132274432</v>
      </c>
      <c r="AA8" s="29">
        <v>78</v>
      </c>
      <c r="AB8" s="29">
        <v>67</v>
      </c>
      <c r="AC8" s="29">
        <v>63.5</v>
      </c>
      <c r="AD8" s="29">
        <v>72</v>
      </c>
      <c r="AE8" s="29">
        <v>76.5</v>
      </c>
      <c r="AF8" s="29">
        <f t="shared" si="6"/>
        <v>71.400000000000006</v>
      </c>
      <c r="AG8" s="29">
        <f t="shared" si="7"/>
        <v>5.5081757415681647</v>
      </c>
      <c r="AH8" s="29">
        <v>77</v>
      </c>
      <c r="AI8" s="29">
        <v>69.5</v>
      </c>
      <c r="AJ8" s="29">
        <v>74.5</v>
      </c>
      <c r="AK8" s="29">
        <v>76</v>
      </c>
      <c r="AL8" s="29">
        <v>73</v>
      </c>
      <c r="AM8" s="37">
        <f t="shared" si="8"/>
        <v>74</v>
      </c>
      <c r="AN8" s="37">
        <f t="shared" si="9"/>
        <v>2.6267851073127395</v>
      </c>
      <c r="AO8" s="37">
        <f t="shared" si="13"/>
        <v>73.724999999999994</v>
      </c>
      <c r="AP8" s="37">
        <f t="shared" si="10"/>
        <v>4.0263972729972881</v>
      </c>
      <c r="AQ8" s="29">
        <v>65</v>
      </c>
      <c r="AR8" s="29">
        <v>73</v>
      </c>
      <c r="AS8" s="29">
        <v>72</v>
      </c>
      <c r="AT8" s="29">
        <v>76</v>
      </c>
      <c r="AU8" s="29">
        <v>70.5</v>
      </c>
      <c r="AV8" s="37">
        <f t="shared" si="11"/>
        <v>71.3</v>
      </c>
      <c r="AW8" s="41">
        <f t="shared" si="12"/>
        <v>3.6276714294434109</v>
      </c>
    </row>
    <row r="9" spans="1:49" x14ac:dyDescent="0.3">
      <c r="A9" s="39">
        <v>5</v>
      </c>
      <c r="B9" s="29">
        <v>0.16</v>
      </c>
      <c r="C9" s="29">
        <v>0</v>
      </c>
      <c r="D9" s="29">
        <v>40</v>
      </c>
      <c r="E9" s="29">
        <v>75</v>
      </c>
      <c r="F9" s="30">
        <v>64</v>
      </c>
      <c r="G9" s="30">
        <v>73.5</v>
      </c>
      <c r="H9" s="30">
        <v>68</v>
      </c>
      <c r="I9" s="30">
        <v>62.5</v>
      </c>
      <c r="J9" s="30">
        <v>71</v>
      </c>
      <c r="K9" s="29">
        <f t="shared" si="0"/>
        <v>67.8</v>
      </c>
      <c r="L9" s="29">
        <f t="shared" si="1"/>
        <v>4.1303752856126765</v>
      </c>
      <c r="M9" s="30">
        <v>66.5</v>
      </c>
      <c r="N9" s="30">
        <v>66</v>
      </c>
      <c r="O9" s="30">
        <v>76.5</v>
      </c>
      <c r="P9" s="30">
        <v>55.5</v>
      </c>
      <c r="Q9" s="30">
        <v>66</v>
      </c>
      <c r="R9" s="29">
        <f t="shared" si="2"/>
        <v>66.099999999999994</v>
      </c>
      <c r="S9" s="29">
        <f t="shared" si="3"/>
        <v>6.6437940967492359</v>
      </c>
      <c r="T9" s="29">
        <v>68.5</v>
      </c>
      <c r="U9" s="29">
        <v>55</v>
      </c>
      <c r="V9" s="29">
        <v>72.5</v>
      </c>
      <c r="W9" s="29">
        <v>71</v>
      </c>
      <c r="X9" s="29">
        <v>63</v>
      </c>
      <c r="Y9" s="29">
        <f t="shared" si="4"/>
        <v>66</v>
      </c>
      <c r="Z9" s="29">
        <f t="shared" si="5"/>
        <v>6.3796551630946325</v>
      </c>
      <c r="AA9" s="29">
        <v>74.5</v>
      </c>
      <c r="AB9" s="29">
        <v>74</v>
      </c>
      <c r="AC9" s="29">
        <v>68</v>
      </c>
      <c r="AD9" s="29">
        <v>75</v>
      </c>
      <c r="AE9" s="29">
        <v>78</v>
      </c>
      <c r="AF9" s="29">
        <f t="shared" si="6"/>
        <v>73.900000000000006</v>
      </c>
      <c r="AG9" s="29">
        <f t="shared" si="7"/>
        <v>3.2619012860600178</v>
      </c>
      <c r="AH9" s="29">
        <v>71</v>
      </c>
      <c r="AI9" s="29">
        <v>77</v>
      </c>
      <c r="AJ9" s="29">
        <v>74</v>
      </c>
      <c r="AK9" s="29">
        <v>77</v>
      </c>
      <c r="AL9" s="29">
        <v>76.5</v>
      </c>
      <c r="AM9" s="37">
        <f t="shared" si="8"/>
        <v>75.099999999999994</v>
      </c>
      <c r="AN9" s="37">
        <f t="shared" si="9"/>
        <v>2.3323807579381199</v>
      </c>
      <c r="AO9" s="37">
        <f t="shared" si="13"/>
        <v>70.275000000000006</v>
      </c>
      <c r="AP9" s="37">
        <f t="shared" si="10"/>
        <v>6.5773759965506002</v>
      </c>
      <c r="AQ9" s="29">
        <v>67.5</v>
      </c>
      <c r="AR9" s="29">
        <v>59</v>
      </c>
      <c r="AS9" s="29">
        <v>70</v>
      </c>
      <c r="AT9" s="29">
        <v>54.5</v>
      </c>
      <c r="AU9" s="29">
        <v>43.5</v>
      </c>
      <c r="AV9" s="37">
        <f t="shared" si="11"/>
        <v>58.9</v>
      </c>
      <c r="AW9" s="41">
        <f t="shared" si="12"/>
        <v>9.5257545632878866</v>
      </c>
    </row>
    <row r="10" spans="1:49" x14ac:dyDescent="0.3">
      <c r="A10" s="39">
        <v>6</v>
      </c>
      <c r="B10" s="29">
        <v>0.16</v>
      </c>
      <c r="C10" s="29">
        <v>30</v>
      </c>
      <c r="D10" s="29">
        <v>30</v>
      </c>
      <c r="E10" s="29">
        <v>100</v>
      </c>
      <c r="F10" s="30">
        <v>57.5</v>
      </c>
      <c r="G10" s="30">
        <v>54</v>
      </c>
      <c r="H10" s="30">
        <v>62</v>
      </c>
      <c r="I10" s="30">
        <v>56.5</v>
      </c>
      <c r="J10" s="30">
        <v>62.5</v>
      </c>
      <c r="K10" s="29">
        <f t="shared" si="0"/>
        <v>58.5</v>
      </c>
      <c r="L10" s="29">
        <f t="shared" si="1"/>
        <v>3.271085446759225</v>
      </c>
      <c r="M10" s="30">
        <v>64</v>
      </c>
      <c r="N10" s="30">
        <v>70.5</v>
      </c>
      <c r="O10" s="30">
        <v>57.5</v>
      </c>
      <c r="P10" s="30">
        <v>59.5</v>
      </c>
      <c r="Q10" s="30">
        <v>71</v>
      </c>
      <c r="R10" s="29">
        <f t="shared" si="2"/>
        <v>64.5</v>
      </c>
      <c r="S10" s="29">
        <f t="shared" si="3"/>
        <v>5.5226805085936306</v>
      </c>
      <c r="T10" s="29">
        <v>74</v>
      </c>
      <c r="U10" s="29">
        <v>58.5</v>
      </c>
      <c r="V10" s="29">
        <v>71.5</v>
      </c>
      <c r="W10" s="29">
        <v>73.5</v>
      </c>
      <c r="X10" s="29">
        <v>70.5</v>
      </c>
      <c r="Y10" s="29">
        <f t="shared" si="4"/>
        <v>69.599999999999994</v>
      </c>
      <c r="Z10" s="29">
        <f t="shared" si="5"/>
        <v>5.6956123463592565</v>
      </c>
      <c r="AA10" s="29">
        <v>67</v>
      </c>
      <c r="AB10" s="29">
        <v>65.5</v>
      </c>
      <c r="AC10" s="29">
        <v>70.5</v>
      </c>
      <c r="AD10" s="29">
        <v>69.5</v>
      </c>
      <c r="AE10" s="29">
        <v>70</v>
      </c>
      <c r="AF10" s="29">
        <f t="shared" si="6"/>
        <v>68.5</v>
      </c>
      <c r="AG10" s="29">
        <f t="shared" si="7"/>
        <v>1.9235384061671346</v>
      </c>
      <c r="AH10" s="29">
        <v>67</v>
      </c>
      <c r="AI10" s="29">
        <v>62</v>
      </c>
      <c r="AJ10" s="29">
        <v>76</v>
      </c>
      <c r="AK10" s="29">
        <v>72</v>
      </c>
      <c r="AL10" s="29">
        <v>72</v>
      </c>
      <c r="AM10" s="37">
        <f t="shared" si="8"/>
        <v>69.8</v>
      </c>
      <c r="AN10" s="37">
        <f t="shared" si="9"/>
        <v>4.8332183894378291</v>
      </c>
      <c r="AO10" s="37">
        <f t="shared" si="13"/>
        <v>68.099999999999994</v>
      </c>
      <c r="AP10" s="37">
        <f t="shared" si="10"/>
        <v>5.2024032907878262</v>
      </c>
      <c r="AQ10" s="29">
        <v>73.5</v>
      </c>
      <c r="AR10" s="29">
        <v>77.5</v>
      </c>
      <c r="AS10" s="29">
        <v>72</v>
      </c>
      <c r="AT10" s="29">
        <v>77.5</v>
      </c>
      <c r="AU10" s="29">
        <v>75</v>
      </c>
      <c r="AV10" s="37">
        <f t="shared" si="11"/>
        <v>75.099999999999994</v>
      </c>
      <c r="AW10" s="41">
        <f t="shared" si="12"/>
        <v>2.1771541057077242</v>
      </c>
    </row>
    <row r="11" spans="1:49" x14ac:dyDescent="0.3">
      <c r="A11" s="39">
        <v>7</v>
      </c>
      <c r="B11" s="29">
        <v>0.16</v>
      </c>
      <c r="C11" s="29">
        <v>45</v>
      </c>
      <c r="D11" s="29">
        <v>60</v>
      </c>
      <c r="E11" s="29">
        <v>25</v>
      </c>
      <c r="F11" s="30">
        <v>67</v>
      </c>
      <c r="G11" s="30">
        <v>54.5</v>
      </c>
      <c r="H11" s="30">
        <v>63.5</v>
      </c>
      <c r="I11" s="30">
        <v>42.5</v>
      </c>
      <c r="J11" s="30">
        <v>69.5</v>
      </c>
      <c r="K11" s="29">
        <f t="shared" si="0"/>
        <v>59.4</v>
      </c>
      <c r="L11" s="29">
        <f t="shared" si="1"/>
        <v>9.8610344284968399</v>
      </c>
      <c r="M11" s="30">
        <v>67</v>
      </c>
      <c r="N11" s="30">
        <v>66.5</v>
      </c>
      <c r="O11" s="30">
        <v>61.5</v>
      </c>
      <c r="P11" s="30">
        <v>68</v>
      </c>
      <c r="Q11" s="30">
        <v>70.5</v>
      </c>
      <c r="R11" s="29">
        <f t="shared" si="2"/>
        <v>66.7</v>
      </c>
      <c r="S11" s="29">
        <f t="shared" si="3"/>
        <v>2.9427877939124323</v>
      </c>
      <c r="T11" s="29">
        <v>52</v>
      </c>
      <c r="U11" s="29">
        <v>46.5</v>
      </c>
      <c r="V11" s="29">
        <v>52</v>
      </c>
      <c r="W11" s="29">
        <v>68</v>
      </c>
      <c r="X11" s="29">
        <v>60</v>
      </c>
      <c r="Y11" s="29">
        <f t="shared" si="4"/>
        <v>55.7</v>
      </c>
      <c r="Z11" s="29">
        <f t="shared" si="5"/>
        <v>7.507329751649384</v>
      </c>
      <c r="AA11" s="29">
        <v>53</v>
      </c>
      <c r="AB11" s="29">
        <v>65.5</v>
      </c>
      <c r="AC11" s="29">
        <v>67</v>
      </c>
      <c r="AD11" s="29">
        <v>62.5</v>
      </c>
      <c r="AE11" s="29">
        <v>64</v>
      </c>
      <c r="AF11" s="29">
        <f t="shared" si="6"/>
        <v>62.4</v>
      </c>
      <c r="AG11" s="29">
        <f t="shared" si="7"/>
        <v>4.9335585534176039</v>
      </c>
      <c r="AH11" s="29">
        <v>69</v>
      </c>
      <c r="AI11" s="29">
        <v>62</v>
      </c>
      <c r="AJ11" s="29">
        <v>50</v>
      </c>
      <c r="AK11" s="29">
        <v>51</v>
      </c>
      <c r="AL11" s="29">
        <v>73</v>
      </c>
      <c r="AM11" s="37">
        <f t="shared" si="8"/>
        <v>61</v>
      </c>
      <c r="AN11" s="37">
        <f t="shared" si="9"/>
        <v>9.2736184954957039</v>
      </c>
      <c r="AO11" s="37">
        <f t="shared" si="13"/>
        <v>61.45</v>
      </c>
      <c r="AP11" s="37">
        <f t="shared" si="10"/>
        <v>7.6988635524991613</v>
      </c>
      <c r="AQ11" s="29">
        <v>63</v>
      </c>
      <c r="AR11" s="29">
        <v>58.5</v>
      </c>
      <c r="AS11" s="29">
        <v>65.5</v>
      </c>
      <c r="AT11" s="29">
        <v>60</v>
      </c>
      <c r="AU11" s="29">
        <v>65</v>
      </c>
      <c r="AV11" s="37">
        <f t="shared" si="11"/>
        <v>62.4</v>
      </c>
      <c r="AW11" s="41">
        <f t="shared" si="12"/>
        <v>2.7459060435491964</v>
      </c>
    </row>
    <row r="12" spans="1:49" x14ac:dyDescent="0.3">
      <c r="A12" s="39">
        <v>8</v>
      </c>
      <c r="B12" s="29">
        <v>0.16</v>
      </c>
      <c r="C12" s="29">
        <v>60</v>
      </c>
      <c r="D12" s="29">
        <v>50</v>
      </c>
      <c r="E12" s="29">
        <v>50</v>
      </c>
      <c r="F12" s="30">
        <v>57</v>
      </c>
      <c r="G12" s="30">
        <v>61</v>
      </c>
      <c r="H12" s="30">
        <v>62</v>
      </c>
      <c r="I12" s="30">
        <v>62.5</v>
      </c>
      <c r="J12" s="30">
        <v>59</v>
      </c>
      <c r="K12" s="29">
        <f t="shared" si="0"/>
        <v>60.3</v>
      </c>
      <c r="L12" s="29">
        <f t="shared" si="1"/>
        <v>2.0396078054371141</v>
      </c>
      <c r="M12" s="30">
        <v>59</v>
      </c>
      <c r="N12" s="30">
        <v>63.5</v>
      </c>
      <c r="O12" s="30">
        <v>72.5</v>
      </c>
      <c r="P12" s="30">
        <v>66</v>
      </c>
      <c r="Q12" s="30">
        <v>66</v>
      </c>
      <c r="R12" s="29">
        <f t="shared" si="2"/>
        <v>65.400000000000006</v>
      </c>
      <c r="S12" s="29">
        <f t="shared" si="3"/>
        <v>4.3749285708454719</v>
      </c>
      <c r="T12" s="29">
        <v>63.5</v>
      </c>
      <c r="U12" s="29">
        <v>66.5</v>
      </c>
      <c r="V12" s="29">
        <v>71</v>
      </c>
      <c r="W12" s="29">
        <v>66.5</v>
      </c>
      <c r="X12" s="29">
        <v>62</v>
      </c>
      <c r="Y12" s="29">
        <f t="shared" si="4"/>
        <v>65.900000000000006</v>
      </c>
      <c r="Z12" s="29">
        <f t="shared" si="5"/>
        <v>3.0886890422961</v>
      </c>
      <c r="AA12" s="29">
        <v>46.5</v>
      </c>
      <c r="AB12" s="29">
        <v>69</v>
      </c>
      <c r="AC12" s="29">
        <v>69</v>
      </c>
      <c r="AD12" s="29">
        <v>70</v>
      </c>
      <c r="AE12" s="29">
        <v>72.5</v>
      </c>
      <c r="AF12" s="29">
        <f t="shared" si="6"/>
        <v>65.400000000000006</v>
      </c>
      <c r="AG12" s="29">
        <f t="shared" si="7"/>
        <v>9.5362466411057127</v>
      </c>
      <c r="AH12" s="29">
        <v>58.5</v>
      </c>
      <c r="AI12" s="29">
        <v>54</v>
      </c>
      <c r="AJ12" s="29">
        <v>70</v>
      </c>
      <c r="AK12" s="29">
        <v>62</v>
      </c>
      <c r="AL12" s="29">
        <v>64</v>
      </c>
      <c r="AM12" s="37">
        <f t="shared" si="8"/>
        <v>61.7</v>
      </c>
      <c r="AN12" s="37">
        <f t="shared" si="9"/>
        <v>5.3628350711167689</v>
      </c>
      <c r="AO12" s="37">
        <f t="shared" si="13"/>
        <v>64.599999999999994</v>
      </c>
      <c r="AP12" s="37">
        <f t="shared" si="10"/>
        <v>6.3198101237299849</v>
      </c>
      <c r="AQ12" s="29">
        <v>63</v>
      </c>
      <c r="AR12" s="29">
        <v>64</v>
      </c>
      <c r="AS12" s="29">
        <v>57</v>
      </c>
      <c r="AT12" s="29">
        <v>64</v>
      </c>
      <c r="AU12" s="29">
        <v>74</v>
      </c>
      <c r="AV12" s="37">
        <f t="shared" si="11"/>
        <v>64.400000000000006</v>
      </c>
      <c r="AW12" s="41">
        <f t="shared" si="12"/>
        <v>5.4626001134990645</v>
      </c>
    </row>
    <row r="13" spans="1:49" x14ac:dyDescent="0.3">
      <c r="A13" s="39">
        <v>9</v>
      </c>
      <c r="B13" s="29">
        <v>0.25</v>
      </c>
      <c r="C13" s="29">
        <v>0</v>
      </c>
      <c r="D13" s="29">
        <v>50</v>
      </c>
      <c r="E13" s="29">
        <v>100</v>
      </c>
      <c r="F13" s="30">
        <v>43</v>
      </c>
      <c r="G13" s="30">
        <v>58</v>
      </c>
      <c r="H13" s="30">
        <v>44</v>
      </c>
      <c r="I13" s="30">
        <v>69</v>
      </c>
      <c r="J13" s="30">
        <v>65.5</v>
      </c>
      <c r="K13" s="29">
        <f t="shared" si="0"/>
        <v>55.9</v>
      </c>
      <c r="L13" s="29">
        <f t="shared" si="1"/>
        <v>10.734989520255713</v>
      </c>
      <c r="M13" s="30">
        <v>49</v>
      </c>
      <c r="N13" s="30">
        <v>65</v>
      </c>
      <c r="O13" s="30">
        <v>66</v>
      </c>
      <c r="P13" s="30">
        <v>52.5</v>
      </c>
      <c r="Q13" s="30">
        <v>41.5</v>
      </c>
      <c r="R13" s="29">
        <f t="shared" si="2"/>
        <v>54.8</v>
      </c>
      <c r="S13" s="29">
        <f t="shared" si="3"/>
        <v>9.4371605899232218</v>
      </c>
      <c r="T13" s="29">
        <v>64.5</v>
      </c>
      <c r="U13" s="29">
        <v>54.5</v>
      </c>
      <c r="V13" s="29">
        <v>75</v>
      </c>
      <c r="W13" s="29">
        <v>71.5</v>
      </c>
      <c r="X13" s="29">
        <v>69.5</v>
      </c>
      <c r="Y13" s="29">
        <f t="shared" si="4"/>
        <v>67</v>
      </c>
      <c r="Z13" s="29">
        <f t="shared" si="5"/>
        <v>7.1133676975114959</v>
      </c>
      <c r="AA13" s="29">
        <v>68</v>
      </c>
      <c r="AB13" s="29">
        <v>56</v>
      </c>
      <c r="AC13" s="29">
        <v>51</v>
      </c>
      <c r="AD13" s="29">
        <v>61.5</v>
      </c>
      <c r="AE13" s="29">
        <v>72</v>
      </c>
      <c r="AF13" s="29">
        <f t="shared" si="6"/>
        <v>61.7</v>
      </c>
      <c r="AG13" s="29">
        <f t="shared" si="7"/>
        <v>7.6524505878835969</v>
      </c>
      <c r="AH13" s="29">
        <v>45</v>
      </c>
      <c r="AI13" s="29">
        <v>49</v>
      </c>
      <c r="AJ13" s="29">
        <v>48.5</v>
      </c>
      <c r="AK13" s="29">
        <v>39</v>
      </c>
      <c r="AL13" s="29">
        <v>52.5</v>
      </c>
      <c r="AM13" s="37">
        <f t="shared" si="8"/>
        <v>46.8</v>
      </c>
      <c r="AN13" s="37">
        <f t="shared" si="9"/>
        <v>4.5672748986676943</v>
      </c>
      <c r="AO13" s="37">
        <f t="shared" si="13"/>
        <v>57.575000000000003</v>
      </c>
      <c r="AP13" s="37">
        <f t="shared" si="10"/>
        <v>10.591594544732159</v>
      </c>
      <c r="AQ13" s="29">
        <v>58</v>
      </c>
      <c r="AR13" s="29">
        <v>72.5</v>
      </c>
      <c r="AS13" s="29">
        <v>69.5</v>
      </c>
      <c r="AT13" s="29">
        <v>57</v>
      </c>
      <c r="AU13" s="29">
        <v>59.5</v>
      </c>
      <c r="AV13" s="37">
        <f t="shared" si="11"/>
        <v>63.3</v>
      </c>
      <c r="AW13" s="41">
        <f t="shared" si="12"/>
        <v>6.4078077374403177</v>
      </c>
    </row>
    <row r="14" spans="1:49" x14ac:dyDescent="0.3">
      <c r="A14" s="39">
        <v>10</v>
      </c>
      <c r="B14" s="29">
        <v>0.25</v>
      </c>
      <c r="C14" s="29">
        <v>30</v>
      </c>
      <c r="D14" s="29">
        <v>60</v>
      </c>
      <c r="E14" s="29">
        <v>75</v>
      </c>
      <c r="F14" s="30">
        <v>73.5</v>
      </c>
      <c r="G14" s="30">
        <v>62.5</v>
      </c>
      <c r="H14" s="30">
        <v>72.5</v>
      </c>
      <c r="I14" s="30">
        <v>61.5</v>
      </c>
      <c r="J14" s="30">
        <v>62.5</v>
      </c>
      <c r="K14" s="29">
        <f t="shared" si="0"/>
        <v>66.5</v>
      </c>
      <c r="L14" s="29">
        <f t="shared" si="1"/>
        <v>5.3291650377896911</v>
      </c>
      <c r="M14" s="30">
        <v>68.5</v>
      </c>
      <c r="N14" s="30">
        <v>57</v>
      </c>
      <c r="O14" s="30">
        <v>69.5</v>
      </c>
      <c r="P14" s="30">
        <v>63</v>
      </c>
      <c r="Q14" s="30">
        <v>67.5</v>
      </c>
      <c r="R14" s="29">
        <f t="shared" si="2"/>
        <v>65.099999999999994</v>
      </c>
      <c r="S14" s="29">
        <f t="shared" si="3"/>
        <v>4.6195237849804389</v>
      </c>
      <c r="T14" s="29">
        <v>48</v>
      </c>
      <c r="U14" s="29">
        <v>57.5</v>
      </c>
      <c r="V14" s="29">
        <v>53.5</v>
      </c>
      <c r="W14" s="29">
        <v>53</v>
      </c>
      <c r="X14" s="29">
        <v>55</v>
      </c>
      <c r="Y14" s="29">
        <f t="shared" si="4"/>
        <v>53.4</v>
      </c>
      <c r="Z14" s="29">
        <f t="shared" si="5"/>
        <v>3.1208973068654466</v>
      </c>
      <c r="AA14" s="29">
        <v>50</v>
      </c>
      <c r="AB14" s="29">
        <v>70.5</v>
      </c>
      <c r="AC14" s="29">
        <v>57</v>
      </c>
      <c r="AD14" s="29">
        <v>73</v>
      </c>
      <c r="AE14" s="29">
        <v>60</v>
      </c>
      <c r="AF14" s="29">
        <f t="shared" si="6"/>
        <v>62.1</v>
      </c>
      <c r="AG14" s="29">
        <f t="shared" si="7"/>
        <v>8.5580371581338675</v>
      </c>
      <c r="AH14" s="29">
        <v>57.5</v>
      </c>
      <c r="AI14" s="29">
        <v>59.5</v>
      </c>
      <c r="AJ14" s="29">
        <v>50.5</v>
      </c>
      <c r="AK14" s="29">
        <v>55.5</v>
      </c>
      <c r="AL14" s="29">
        <v>62.5</v>
      </c>
      <c r="AM14" s="37">
        <f t="shared" si="8"/>
        <v>57.1</v>
      </c>
      <c r="AN14" s="37">
        <f t="shared" si="9"/>
        <v>4.029888335921977</v>
      </c>
      <c r="AO14" s="37">
        <f t="shared" si="13"/>
        <v>59.424999999999997</v>
      </c>
      <c r="AP14" s="37">
        <f t="shared" si="10"/>
        <v>7.0997799261667263</v>
      </c>
      <c r="AQ14" s="29">
        <v>56.5</v>
      </c>
      <c r="AR14" s="29">
        <v>48.5</v>
      </c>
      <c r="AS14" s="29">
        <v>69</v>
      </c>
      <c r="AT14" s="29">
        <v>60.5</v>
      </c>
      <c r="AU14" s="29">
        <v>63</v>
      </c>
      <c r="AV14" s="37">
        <f t="shared" si="11"/>
        <v>59.5</v>
      </c>
      <c r="AW14" s="41">
        <f t="shared" si="12"/>
        <v>6.8337398253079549</v>
      </c>
    </row>
    <row r="15" spans="1:49" x14ac:dyDescent="0.3">
      <c r="A15" s="39">
        <v>11</v>
      </c>
      <c r="B15" s="29">
        <v>0.25</v>
      </c>
      <c r="C15" s="29">
        <v>45</v>
      </c>
      <c r="D15" s="29">
        <v>30</v>
      </c>
      <c r="E15" s="29">
        <v>50</v>
      </c>
      <c r="F15" s="30">
        <v>56</v>
      </c>
      <c r="G15" s="30">
        <v>55</v>
      </c>
      <c r="H15" s="30">
        <v>75</v>
      </c>
      <c r="I15" s="30">
        <v>62.5</v>
      </c>
      <c r="J15" s="30">
        <v>65</v>
      </c>
      <c r="K15" s="29">
        <f t="shared" si="0"/>
        <v>62.7</v>
      </c>
      <c r="L15" s="29">
        <f t="shared" si="1"/>
        <v>7.2221880341071154</v>
      </c>
      <c r="M15" s="30">
        <v>58</v>
      </c>
      <c r="N15" s="30">
        <v>51</v>
      </c>
      <c r="O15" s="30">
        <v>62.5</v>
      </c>
      <c r="P15" s="30">
        <v>60</v>
      </c>
      <c r="Q15" s="30">
        <v>54.5</v>
      </c>
      <c r="R15" s="29">
        <f t="shared" si="2"/>
        <v>57.2</v>
      </c>
      <c r="S15" s="29">
        <f t="shared" si="3"/>
        <v>4.0570925550201586</v>
      </c>
      <c r="T15" s="29">
        <v>65</v>
      </c>
      <c r="U15" s="29">
        <v>60.5</v>
      </c>
      <c r="V15" s="29">
        <v>66</v>
      </c>
      <c r="W15" s="29">
        <v>64</v>
      </c>
      <c r="X15" s="29">
        <v>64.5</v>
      </c>
      <c r="Y15" s="29">
        <f t="shared" si="4"/>
        <v>64</v>
      </c>
      <c r="Z15" s="29">
        <f t="shared" si="5"/>
        <v>1.8708286933869707</v>
      </c>
      <c r="AA15" s="29">
        <v>60</v>
      </c>
      <c r="AB15" s="29">
        <v>70</v>
      </c>
      <c r="AC15" s="29">
        <v>68</v>
      </c>
      <c r="AD15" s="29">
        <v>56</v>
      </c>
      <c r="AE15" s="29">
        <v>72.5</v>
      </c>
      <c r="AF15" s="29">
        <f t="shared" si="6"/>
        <v>65.3</v>
      </c>
      <c r="AG15" s="29">
        <f t="shared" si="7"/>
        <v>6.2577951388648065</v>
      </c>
      <c r="AH15" s="29">
        <v>62</v>
      </c>
      <c r="AI15" s="29">
        <v>55</v>
      </c>
      <c r="AJ15" s="29">
        <v>59</v>
      </c>
      <c r="AK15" s="29">
        <v>73</v>
      </c>
      <c r="AL15" s="29">
        <v>72</v>
      </c>
      <c r="AM15" s="37">
        <f t="shared" si="8"/>
        <v>64.2</v>
      </c>
      <c r="AN15" s="37">
        <f t="shared" si="9"/>
        <v>7.138627319029899</v>
      </c>
      <c r="AO15" s="37">
        <f t="shared" si="13"/>
        <v>62.674999999999997</v>
      </c>
      <c r="AP15" s="37">
        <f t="shared" si="10"/>
        <v>6.1446623178169846</v>
      </c>
      <c r="AQ15" s="29">
        <v>56</v>
      </c>
      <c r="AR15" s="29">
        <v>45</v>
      </c>
      <c r="AS15" s="29">
        <v>49.5</v>
      </c>
      <c r="AT15" s="29">
        <v>64</v>
      </c>
      <c r="AU15" s="29">
        <v>61</v>
      </c>
      <c r="AV15" s="37">
        <f t="shared" si="11"/>
        <v>55.1</v>
      </c>
      <c r="AW15" s="41">
        <f t="shared" si="12"/>
        <v>7.0455659815234153</v>
      </c>
    </row>
    <row r="16" spans="1:49" x14ac:dyDescent="0.3">
      <c r="A16" s="39">
        <v>12</v>
      </c>
      <c r="B16" s="29">
        <v>0.25</v>
      </c>
      <c r="C16" s="29">
        <v>60</v>
      </c>
      <c r="D16" s="29">
        <v>40</v>
      </c>
      <c r="E16" s="29">
        <v>25</v>
      </c>
      <c r="F16" s="30">
        <v>55.5</v>
      </c>
      <c r="G16" s="30">
        <v>65</v>
      </c>
      <c r="H16" s="30">
        <v>61.5</v>
      </c>
      <c r="I16" s="30">
        <v>64</v>
      </c>
      <c r="J16" s="30">
        <v>56</v>
      </c>
      <c r="K16" s="29">
        <f t="shared" si="0"/>
        <v>60.4</v>
      </c>
      <c r="L16" s="29">
        <f t="shared" si="1"/>
        <v>3.9673668849754744</v>
      </c>
      <c r="M16" s="30">
        <v>48</v>
      </c>
      <c r="N16" s="30">
        <v>53</v>
      </c>
      <c r="O16" s="30">
        <v>46.5</v>
      </c>
      <c r="P16" s="30">
        <v>54</v>
      </c>
      <c r="Q16" s="30">
        <v>64.5</v>
      </c>
      <c r="R16" s="29">
        <f t="shared" si="2"/>
        <v>53.2</v>
      </c>
      <c r="S16" s="29">
        <f t="shared" si="3"/>
        <v>6.3292969593786639</v>
      </c>
      <c r="T16" s="29">
        <v>49</v>
      </c>
      <c r="U16" s="29">
        <v>51</v>
      </c>
      <c r="V16" s="29">
        <v>41</v>
      </c>
      <c r="W16" s="29">
        <v>43</v>
      </c>
      <c r="X16" s="29">
        <v>64.5</v>
      </c>
      <c r="Y16" s="29">
        <f t="shared" si="4"/>
        <v>49.7</v>
      </c>
      <c r="Z16" s="29">
        <f t="shared" si="5"/>
        <v>8.2680106434377549</v>
      </c>
      <c r="AA16" s="29">
        <v>61.5</v>
      </c>
      <c r="AB16" s="29">
        <v>60</v>
      </c>
      <c r="AC16" s="29">
        <v>58</v>
      </c>
      <c r="AD16" s="29">
        <v>44.5</v>
      </c>
      <c r="AE16" s="29">
        <v>45.5</v>
      </c>
      <c r="AF16" s="29">
        <f t="shared" si="6"/>
        <v>53.9</v>
      </c>
      <c r="AG16" s="29">
        <f t="shared" si="7"/>
        <v>7.3579888556588617</v>
      </c>
      <c r="AH16" s="29">
        <v>61.5</v>
      </c>
      <c r="AI16" s="29">
        <v>57</v>
      </c>
      <c r="AJ16" s="29">
        <v>71</v>
      </c>
      <c r="AK16" s="29">
        <v>69</v>
      </c>
      <c r="AL16" s="29">
        <v>61.5</v>
      </c>
      <c r="AM16" s="37">
        <f t="shared" si="8"/>
        <v>64</v>
      </c>
      <c r="AN16" s="37">
        <f t="shared" si="9"/>
        <v>5.205766033928148</v>
      </c>
      <c r="AO16" s="37">
        <f t="shared" si="13"/>
        <v>55.2</v>
      </c>
      <c r="AP16" s="37">
        <f t="shared" si="10"/>
        <v>8.7040220587955783</v>
      </c>
      <c r="AQ16" s="29">
        <v>60.5</v>
      </c>
      <c r="AR16" s="29">
        <v>59</v>
      </c>
      <c r="AS16" s="29">
        <v>53.5</v>
      </c>
      <c r="AT16" s="29">
        <v>64</v>
      </c>
      <c r="AU16" s="29">
        <v>59.5</v>
      </c>
      <c r="AV16" s="37">
        <f t="shared" si="11"/>
        <v>59.3</v>
      </c>
      <c r="AW16" s="41">
        <f t="shared" si="12"/>
        <v>3.3852621759621515</v>
      </c>
    </row>
    <row r="17" spans="1:49" x14ac:dyDescent="0.3">
      <c r="A17" s="39">
        <v>13</v>
      </c>
      <c r="B17" s="29">
        <v>0.5</v>
      </c>
      <c r="C17" s="29">
        <v>0</v>
      </c>
      <c r="D17" s="29">
        <v>60</v>
      </c>
      <c r="E17" s="29">
        <v>50</v>
      </c>
      <c r="F17" s="30">
        <v>51</v>
      </c>
      <c r="G17" s="30">
        <v>50</v>
      </c>
      <c r="H17" s="30">
        <v>51</v>
      </c>
      <c r="I17" s="30">
        <v>37</v>
      </c>
      <c r="J17" s="30">
        <v>28</v>
      </c>
      <c r="K17" s="29">
        <f t="shared" si="0"/>
        <v>43.4</v>
      </c>
      <c r="L17" s="29">
        <f t="shared" si="1"/>
        <v>9.3509357820487669</v>
      </c>
      <c r="M17" s="30">
        <v>38</v>
      </c>
      <c r="N17" s="30">
        <v>49</v>
      </c>
      <c r="O17" s="30">
        <v>42</v>
      </c>
      <c r="P17" s="30">
        <v>42</v>
      </c>
      <c r="Q17" s="30">
        <v>36.5</v>
      </c>
      <c r="R17" s="29">
        <f t="shared" si="2"/>
        <v>41.5</v>
      </c>
      <c r="S17" s="29">
        <f t="shared" si="3"/>
        <v>4.3358966777357599</v>
      </c>
      <c r="T17" s="29">
        <v>50.5</v>
      </c>
      <c r="U17" s="29">
        <v>48</v>
      </c>
      <c r="V17" s="29">
        <v>36</v>
      </c>
      <c r="W17" s="29">
        <v>47</v>
      </c>
      <c r="X17" s="29">
        <v>36.5</v>
      </c>
      <c r="Y17" s="29">
        <f t="shared" si="4"/>
        <v>43.6</v>
      </c>
      <c r="Z17" s="29">
        <f t="shared" si="5"/>
        <v>6.1106464469808763</v>
      </c>
      <c r="AA17" s="29">
        <v>38</v>
      </c>
      <c r="AB17" s="29">
        <v>47.5</v>
      </c>
      <c r="AC17" s="29">
        <v>52</v>
      </c>
      <c r="AD17" s="29">
        <v>39.5</v>
      </c>
      <c r="AE17" s="29">
        <v>48.5</v>
      </c>
      <c r="AF17" s="29">
        <f t="shared" si="6"/>
        <v>45.1</v>
      </c>
      <c r="AG17" s="29">
        <f t="shared" si="7"/>
        <v>5.4166410255803363</v>
      </c>
      <c r="AH17" s="29">
        <v>42</v>
      </c>
      <c r="AI17" s="29">
        <v>54.5</v>
      </c>
      <c r="AJ17" s="29">
        <v>44.5</v>
      </c>
      <c r="AK17" s="29">
        <v>45.5</v>
      </c>
      <c r="AL17" s="29">
        <v>37</v>
      </c>
      <c r="AM17" s="37">
        <f t="shared" si="8"/>
        <v>44.7</v>
      </c>
      <c r="AN17" s="37">
        <f t="shared" si="9"/>
        <v>5.7148928248918187</v>
      </c>
      <c r="AO17" s="37">
        <f t="shared" si="13"/>
        <v>43.725000000000001</v>
      </c>
      <c r="AP17" s="37">
        <f t="shared" si="10"/>
        <v>5.6113166904034211</v>
      </c>
      <c r="AQ17" s="29">
        <v>20</v>
      </c>
      <c r="AR17" s="29">
        <v>29</v>
      </c>
      <c r="AS17" s="29">
        <v>17</v>
      </c>
      <c r="AT17" s="29">
        <v>12</v>
      </c>
      <c r="AU17" s="29">
        <v>19</v>
      </c>
      <c r="AV17" s="37">
        <f t="shared" si="11"/>
        <v>19.399999999999999</v>
      </c>
      <c r="AW17" s="41">
        <f t="shared" si="12"/>
        <v>5.5353410012392192</v>
      </c>
    </row>
    <row r="18" spans="1:49" x14ac:dyDescent="0.3">
      <c r="A18" s="39">
        <v>14</v>
      </c>
      <c r="B18" s="29">
        <v>0.5</v>
      </c>
      <c r="C18" s="29">
        <v>30</v>
      </c>
      <c r="D18" s="29">
        <v>50</v>
      </c>
      <c r="E18" s="29">
        <v>25</v>
      </c>
      <c r="F18" s="30">
        <v>44.5</v>
      </c>
      <c r="G18" s="30">
        <v>34</v>
      </c>
      <c r="H18" s="30">
        <v>39</v>
      </c>
      <c r="I18" s="30">
        <v>20</v>
      </c>
      <c r="J18" s="30">
        <v>29</v>
      </c>
      <c r="K18" s="29">
        <f t="shared" si="0"/>
        <v>33.299999999999997</v>
      </c>
      <c r="L18" s="29">
        <f t="shared" si="1"/>
        <v>8.4118963379252367</v>
      </c>
      <c r="M18" s="31">
        <v>45</v>
      </c>
      <c r="N18" s="31">
        <v>27</v>
      </c>
      <c r="O18" s="31">
        <v>38.5</v>
      </c>
      <c r="P18" s="31">
        <v>33.5</v>
      </c>
      <c r="Q18" s="31">
        <v>21.5</v>
      </c>
      <c r="R18" s="29">
        <f t="shared" si="2"/>
        <v>33.1</v>
      </c>
      <c r="S18" s="29">
        <f t="shared" si="3"/>
        <v>8.2788888143276811</v>
      </c>
      <c r="T18" s="31">
        <v>38.299999999999997</v>
      </c>
      <c r="U18" s="31">
        <v>36</v>
      </c>
      <c r="V18" s="31">
        <v>32</v>
      </c>
      <c r="W18" s="31">
        <v>35</v>
      </c>
      <c r="X18" s="31">
        <v>38</v>
      </c>
      <c r="Y18" s="29">
        <f t="shared" si="4"/>
        <v>35.86</v>
      </c>
      <c r="Z18" s="29">
        <f t="shared" si="5"/>
        <v>2.2887551201471941</v>
      </c>
      <c r="AA18" s="31">
        <v>42</v>
      </c>
      <c r="AB18" s="31">
        <v>41</v>
      </c>
      <c r="AC18" s="31">
        <v>36</v>
      </c>
      <c r="AD18" s="31">
        <v>26.5</v>
      </c>
      <c r="AE18" s="31">
        <v>40</v>
      </c>
      <c r="AF18" s="29">
        <f t="shared" si="6"/>
        <v>37.1</v>
      </c>
      <c r="AG18" s="29">
        <f t="shared" si="7"/>
        <v>5.6780278266313564</v>
      </c>
      <c r="AH18" s="31">
        <v>41</v>
      </c>
      <c r="AI18" s="31">
        <v>28</v>
      </c>
      <c r="AJ18" s="31">
        <v>35</v>
      </c>
      <c r="AK18" s="31">
        <v>32</v>
      </c>
      <c r="AL18" s="31">
        <v>36</v>
      </c>
      <c r="AM18" s="37">
        <f t="shared" si="8"/>
        <v>34.4</v>
      </c>
      <c r="AN18" s="37">
        <f t="shared" si="9"/>
        <v>4.3174066289845809</v>
      </c>
      <c r="AO18" s="37">
        <f t="shared" si="13"/>
        <v>35.115000000000002</v>
      </c>
      <c r="AP18" s="37">
        <f t="shared" si="10"/>
        <v>5.7819784676181705</v>
      </c>
      <c r="AQ18" s="31">
        <v>27.5</v>
      </c>
      <c r="AR18" s="31">
        <v>30</v>
      </c>
      <c r="AS18" s="31">
        <v>23.5</v>
      </c>
      <c r="AT18" s="31">
        <v>18</v>
      </c>
      <c r="AU18" s="31">
        <v>30.5</v>
      </c>
      <c r="AV18" s="37">
        <f t="shared" si="11"/>
        <v>25.9</v>
      </c>
      <c r="AW18" s="41">
        <f t="shared" si="12"/>
        <v>4.6626172907499068</v>
      </c>
    </row>
    <row r="19" spans="1:49" x14ac:dyDescent="0.3">
      <c r="A19" s="39">
        <v>15</v>
      </c>
      <c r="B19" s="29">
        <v>0.5</v>
      </c>
      <c r="C19" s="29">
        <v>45</v>
      </c>
      <c r="D19" s="29">
        <v>40</v>
      </c>
      <c r="E19" s="29">
        <v>100</v>
      </c>
      <c r="F19" s="30">
        <v>44</v>
      </c>
      <c r="G19" s="30">
        <v>59</v>
      </c>
      <c r="H19" s="30">
        <v>57</v>
      </c>
      <c r="I19" s="30">
        <v>45</v>
      </c>
      <c r="J19" s="30">
        <v>33.5</v>
      </c>
      <c r="K19" s="29">
        <f t="shared" si="0"/>
        <v>47.7</v>
      </c>
      <c r="L19" s="29">
        <f t="shared" si="1"/>
        <v>9.3466571564383383</v>
      </c>
      <c r="M19" s="31">
        <v>45.5</v>
      </c>
      <c r="N19" s="31">
        <v>60</v>
      </c>
      <c r="O19" s="31">
        <v>45</v>
      </c>
      <c r="P19" s="31">
        <v>34</v>
      </c>
      <c r="Q19" s="31">
        <v>48</v>
      </c>
      <c r="R19" s="29">
        <f t="shared" si="2"/>
        <v>46.5</v>
      </c>
      <c r="S19" s="29">
        <f t="shared" si="3"/>
        <v>8.2945765413310877</v>
      </c>
      <c r="T19" s="31">
        <v>42.5</v>
      </c>
      <c r="U19" s="31">
        <v>34.5</v>
      </c>
      <c r="V19" s="31">
        <v>37</v>
      </c>
      <c r="W19" s="31">
        <v>42.5</v>
      </c>
      <c r="X19" s="31">
        <v>46.5</v>
      </c>
      <c r="Y19" s="29">
        <f t="shared" si="4"/>
        <v>40.6</v>
      </c>
      <c r="Z19" s="29">
        <f t="shared" si="5"/>
        <v>4.2941821107167781</v>
      </c>
      <c r="AA19" s="31">
        <v>40.5</v>
      </c>
      <c r="AB19" s="31">
        <v>32</v>
      </c>
      <c r="AC19" s="31">
        <v>41</v>
      </c>
      <c r="AD19" s="31">
        <v>27</v>
      </c>
      <c r="AE19" s="31">
        <v>27.5</v>
      </c>
      <c r="AF19" s="29">
        <f t="shared" si="6"/>
        <v>33.6</v>
      </c>
      <c r="AG19" s="29">
        <f t="shared" si="7"/>
        <v>6.0942595940770357</v>
      </c>
      <c r="AH19" s="31">
        <v>31.5</v>
      </c>
      <c r="AI19" s="31">
        <v>47.5</v>
      </c>
      <c r="AJ19" s="31">
        <v>40.5</v>
      </c>
      <c r="AK19" s="31">
        <v>33</v>
      </c>
      <c r="AL19" s="31">
        <v>47.5</v>
      </c>
      <c r="AM19" s="37">
        <f t="shared" si="8"/>
        <v>40</v>
      </c>
      <c r="AN19" s="37">
        <f t="shared" si="9"/>
        <v>6.8410525505948279</v>
      </c>
      <c r="AO19" s="37">
        <f t="shared" si="13"/>
        <v>40.174999999999997</v>
      </c>
      <c r="AP19" s="37">
        <f t="shared" si="10"/>
        <v>7.9785258663489964</v>
      </c>
      <c r="AQ19" s="31">
        <v>28</v>
      </c>
      <c r="AR19" s="31">
        <v>27</v>
      </c>
      <c r="AS19" s="31">
        <v>26.5</v>
      </c>
      <c r="AT19" s="31">
        <v>38</v>
      </c>
      <c r="AU19" s="31">
        <v>39</v>
      </c>
      <c r="AV19" s="37">
        <f t="shared" si="11"/>
        <v>31.7</v>
      </c>
      <c r="AW19" s="41">
        <f t="shared" si="12"/>
        <v>5.5821142947811451</v>
      </c>
    </row>
    <row r="20" spans="1:49" x14ac:dyDescent="0.3">
      <c r="A20" s="39">
        <v>16</v>
      </c>
      <c r="B20" s="29">
        <v>0.5</v>
      </c>
      <c r="C20" s="29">
        <v>60</v>
      </c>
      <c r="D20" s="29">
        <v>30</v>
      </c>
      <c r="E20" s="29">
        <v>75</v>
      </c>
      <c r="F20" s="30">
        <v>25</v>
      </c>
      <c r="G20" s="30">
        <v>32</v>
      </c>
      <c r="H20" s="30">
        <v>20</v>
      </c>
      <c r="I20" s="30">
        <v>19</v>
      </c>
      <c r="J20" s="30">
        <v>26.5</v>
      </c>
      <c r="K20" s="29">
        <f t="shared" si="0"/>
        <v>24.5</v>
      </c>
      <c r="L20" s="29">
        <f t="shared" si="1"/>
        <v>4.7116875957558984</v>
      </c>
      <c r="M20" s="31">
        <v>33.5</v>
      </c>
      <c r="N20" s="31">
        <v>40</v>
      </c>
      <c r="O20" s="31">
        <v>36.5</v>
      </c>
      <c r="P20" s="31">
        <v>30.5</v>
      </c>
      <c r="Q20" s="31">
        <v>43.5</v>
      </c>
      <c r="R20" s="29">
        <f t="shared" si="2"/>
        <v>36.799999999999997</v>
      </c>
      <c r="S20" s="29">
        <f t="shared" si="3"/>
        <v>4.5999999999999996</v>
      </c>
      <c r="T20" s="31">
        <v>47.5</v>
      </c>
      <c r="U20" s="31">
        <v>39.5</v>
      </c>
      <c r="V20" s="31">
        <v>28.5</v>
      </c>
      <c r="W20" s="31">
        <v>34</v>
      </c>
      <c r="X20" s="31">
        <v>37</v>
      </c>
      <c r="Y20" s="29">
        <f t="shared" si="4"/>
        <v>37.299999999999997</v>
      </c>
      <c r="Z20" s="29">
        <f t="shared" si="5"/>
        <v>6.2817195098157637</v>
      </c>
      <c r="AA20" s="31">
        <v>29.5</v>
      </c>
      <c r="AB20" s="31">
        <v>38</v>
      </c>
      <c r="AC20" s="31">
        <v>52.5</v>
      </c>
      <c r="AD20" s="31">
        <v>36</v>
      </c>
      <c r="AE20" s="31">
        <v>37</v>
      </c>
      <c r="AF20" s="29">
        <f t="shared" si="6"/>
        <v>38.6</v>
      </c>
      <c r="AG20" s="29">
        <f t="shared" si="7"/>
        <v>7.5591004755857032</v>
      </c>
      <c r="AH20" s="31">
        <v>31.5</v>
      </c>
      <c r="AI20" s="31">
        <v>44.5</v>
      </c>
      <c r="AJ20" s="31">
        <v>35</v>
      </c>
      <c r="AK20" s="31">
        <v>28</v>
      </c>
      <c r="AL20" s="31">
        <v>42</v>
      </c>
      <c r="AM20" s="37">
        <f t="shared" si="8"/>
        <v>36.200000000000003</v>
      </c>
      <c r="AN20" s="37">
        <f t="shared" si="9"/>
        <v>6.2177166226839251</v>
      </c>
      <c r="AO20" s="37">
        <f t="shared" si="13"/>
        <v>37.225000000000001</v>
      </c>
      <c r="AP20" s="37">
        <f t="shared" si="10"/>
        <v>6.3156056716676039</v>
      </c>
      <c r="AQ20" s="31">
        <v>26</v>
      </c>
      <c r="AR20" s="31">
        <v>28.5</v>
      </c>
      <c r="AS20" s="31">
        <v>21</v>
      </c>
      <c r="AT20" s="31">
        <v>16</v>
      </c>
      <c r="AU20" s="31">
        <v>33.5</v>
      </c>
      <c r="AV20" s="37">
        <f t="shared" si="11"/>
        <v>25</v>
      </c>
      <c r="AW20" s="41">
        <f t="shared" si="12"/>
        <v>6.0415229867972862</v>
      </c>
    </row>
    <row r="21" spans="1:49" x14ac:dyDescent="0.3">
      <c r="Y21" s="2"/>
      <c r="Z21" s="2"/>
    </row>
  </sheetData>
  <mergeCells count="9">
    <mergeCell ref="AP3:AP4"/>
    <mergeCell ref="AQ3:AW3"/>
    <mergeCell ref="AO3:AO4"/>
    <mergeCell ref="A3:A4"/>
    <mergeCell ref="F3:L3"/>
    <mergeCell ref="M3:S3"/>
    <mergeCell ref="T3:Z3"/>
    <mergeCell ref="AA3:AG3"/>
    <mergeCell ref="AH3:AN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"/>
  <sheetViews>
    <sheetView tabSelected="1" workbookViewId="0">
      <selection activeCell="L24" sqref="L24"/>
    </sheetView>
  </sheetViews>
  <sheetFormatPr defaultRowHeight="14.4" x14ac:dyDescent="0.3"/>
  <cols>
    <col min="1" max="1" width="20.109375" customWidth="1"/>
    <col min="3" max="3" width="10.5546875" customWidth="1"/>
    <col min="4" max="4" width="10.109375" customWidth="1"/>
    <col min="6" max="6" width="11.44140625" customWidth="1"/>
    <col min="10" max="10" width="8.33203125" customWidth="1"/>
    <col min="11" max="11" width="10" customWidth="1"/>
    <col min="15" max="15" width="12.5546875" customWidth="1"/>
  </cols>
  <sheetData>
    <row r="1" spans="1:15" x14ac:dyDescent="0.3">
      <c r="A1" s="3" t="s">
        <v>52</v>
      </c>
    </row>
    <row r="3" spans="1:15" ht="38.25" customHeight="1" x14ac:dyDescent="0.3">
      <c r="A3" s="53" t="s">
        <v>24</v>
      </c>
      <c r="B3" s="32" t="s">
        <v>25</v>
      </c>
      <c r="C3" s="32" t="s">
        <v>27</v>
      </c>
      <c r="D3" s="32" t="s">
        <v>18</v>
      </c>
      <c r="E3" s="32" t="s">
        <v>20</v>
      </c>
      <c r="F3" s="54" t="s">
        <v>53</v>
      </c>
      <c r="G3" s="55"/>
      <c r="H3" s="55"/>
      <c r="I3" s="55"/>
      <c r="J3" s="56"/>
      <c r="K3" s="57" t="s">
        <v>54</v>
      </c>
      <c r="L3" s="54" t="s">
        <v>55</v>
      </c>
      <c r="M3" s="55"/>
      <c r="N3" s="56"/>
      <c r="O3" s="57" t="s">
        <v>54</v>
      </c>
    </row>
    <row r="4" spans="1:15" ht="27.6" x14ac:dyDescent="0.3">
      <c r="A4" s="53"/>
      <c r="B4" s="32" t="s">
        <v>26</v>
      </c>
      <c r="C4" s="32" t="s">
        <v>30</v>
      </c>
      <c r="D4" s="32" t="s">
        <v>28</v>
      </c>
      <c r="E4" s="32" t="s">
        <v>29</v>
      </c>
      <c r="F4" s="32" t="s">
        <v>32</v>
      </c>
      <c r="G4" s="32" t="s">
        <v>33</v>
      </c>
      <c r="H4" s="32" t="s">
        <v>34</v>
      </c>
      <c r="I4" s="32" t="s">
        <v>35</v>
      </c>
      <c r="J4" s="32" t="s">
        <v>61</v>
      </c>
      <c r="K4" s="58"/>
      <c r="L4" s="32" t="s">
        <v>32</v>
      </c>
      <c r="M4" s="32" t="s">
        <v>33</v>
      </c>
      <c r="N4" s="32" t="s">
        <v>38</v>
      </c>
      <c r="O4" s="58"/>
    </row>
    <row r="5" spans="1:15" x14ac:dyDescent="0.3">
      <c r="A5" s="39">
        <v>1</v>
      </c>
      <c r="B5" s="29">
        <v>0.08</v>
      </c>
      <c r="C5" s="29">
        <v>0</v>
      </c>
      <c r="D5" s="29">
        <v>30</v>
      </c>
      <c r="E5" s="34">
        <v>25</v>
      </c>
      <c r="F5" s="33">
        <v>19.809999999999999</v>
      </c>
      <c r="G5" s="33">
        <v>19.829999999999998</v>
      </c>
      <c r="H5" s="33">
        <v>19.809999999999999</v>
      </c>
      <c r="I5" s="35">
        <v>20</v>
      </c>
      <c r="J5" s="30">
        <f>AVERAGE(F5:I5)</f>
        <v>19.862500000000001</v>
      </c>
      <c r="K5" s="38">
        <f>20-J5</f>
        <v>0.13749999999999929</v>
      </c>
      <c r="L5" s="33">
        <v>27.63</v>
      </c>
      <c r="M5" s="33">
        <v>27.61</v>
      </c>
      <c r="N5" s="36">
        <f>AVERAGE(L5:M5)</f>
        <v>27.619999999999997</v>
      </c>
      <c r="O5" s="30">
        <f>SUM(28.28,-N5)</f>
        <v>0.66000000000000369</v>
      </c>
    </row>
    <row r="6" spans="1:15" x14ac:dyDescent="0.3">
      <c r="A6" s="39">
        <v>2</v>
      </c>
      <c r="B6" s="29">
        <v>0.08</v>
      </c>
      <c r="C6" s="29">
        <v>30</v>
      </c>
      <c r="D6" s="29">
        <v>40</v>
      </c>
      <c r="E6" s="34">
        <v>50</v>
      </c>
      <c r="F6" s="33">
        <v>19.79</v>
      </c>
      <c r="G6" s="33">
        <v>19.739999999999998</v>
      </c>
      <c r="H6" s="33">
        <v>19.8</v>
      </c>
      <c r="I6" s="35">
        <v>20</v>
      </c>
      <c r="J6" s="30">
        <f>AVERAGE(F6:I6)</f>
        <v>19.8325</v>
      </c>
      <c r="K6" s="38">
        <f t="shared" ref="K6:K20" si="0">20-J6</f>
        <v>0.16750000000000043</v>
      </c>
      <c r="L6" s="33">
        <v>27.77</v>
      </c>
      <c r="M6" s="33">
        <v>27.57</v>
      </c>
      <c r="N6" s="36">
        <f t="shared" ref="N6:N20" si="1">AVERAGE(L6:M6)</f>
        <v>27.67</v>
      </c>
      <c r="O6" s="30">
        <f t="shared" ref="O6:O20" si="2">SUM(28.28,-N6)</f>
        <v>0.60999999999999943</v>
      </c>
    </row>
    <row r="7" spans="1:15" x14ac:dyDescent="0.3">
      <c r="A7" s="39">
        <v>3</v>
      </c>
      <c r="B7" s="29">
        <v>0.08</v>
      </c>
      <c r="C7" s="29">
        <v>45</v>
      </c>
      <c r="D7" s="29">
        <v>50</v>
      </c>
      <c r="E7" s="34">
        <v>75</v>
      </c>
      <c r="F7" s="33">
        <v>19.72</v>
      </c>
      <c r="G7" s="33">
        <v>19.91</v>
      </c>
      <c r="H7" s="33">
        <v>19.79</v>
      </c>
      <c r="I7" s="35">
        <v>19.86</v>
      </c>
      <c r="J7" s="30">
        <f t="shared" ref="J7:J20" si="3">AVERAGE(F7:I7)</f>
        <v>19.82</v>
      </c>
      <c r="K7" s="38">
        <f t="shared" si="0"/>
        <v>0.17999999999999972</v>
      </c>
      <c r="L7" s="33">
        <v>27.45</v>
      </c>
      <c r="M7" s="33">
        <v>27.4</v>
      </c>
      <c r="N7" s="36">
        <f t="shared" si="1"/>
        <v>27.424999999999997</v>
      </c>
      <c r="O7" s="30">
        <f t="shared" si="2"/>
        <v>0.85500000000000398</v>
      </c>
    </row>
    <row r="8" spans="1:15" x14ac:dyDescent="0.3">
      <c r="A8" s="39">
        <v>4</v>
      </c>
      <c r="B8" s="29">
        <v>0.08</v>
      </c>
      <c r="C8" s="29">
        <v>60</v>
      </c>
      <c r="D8" s="29">
        <v>60</v>
      </c>
      <c r="E8" s="34">
        <v>100</v>
      </c>
      <c r="F8" s="33">
        <v>19.82</v>
      </c>
      <c r="G8" s="33">
        <v>19.77</v>
      </c>
      <c r="H8" s="33">
        <v>19.760000000000002</v>
      </c>
      <c r="I8" s="35">
        <v>19.86</v>
      </c>
      <c r="J8" s="30">
        <f>AVERAGE(F8:I8)</f>
        <v>19.802500000000002</v>
      </c>
      <c r="K8" s="38">
        <f t="shared" si="0"/>
        <v>0.19749999999999801</v>
      </c>
      <c r="L8" s="33">
        <v>27.49</v>
      </c>
      <c r="M8" s="33">
        <v>27.8</v>
      </c>
      <c r="N8" s="36">
        <f t="shared" si="1"/>
        <v>27.645</v>
      </c>
      <c r="O8" s="30">
        <f t="shared" si="2"/>
        <v>0.63500000000000156</v>
      </c>
    </row>
    <row r="9" spans="1:15" x14ac:dyDescent="0.3">
      <c r="A9" s="39">
        <v>5</v>
      </c>
      <c r="B9" s="29">
        <v>0.16</v>
      </c>
      <c r="C9" s="29">
        <v>0</v>
      </c>
      <c r="D9" s="29">
        <v>40</v>
      </c>
      <c r="E9" s="34">
        <v>75</v>
      </c>
      <c r="F9" s="33">
        <v>19.7</v>
      </c>
      <c r="G9" s="33">
        <v>19.7</v>
      </c>
      <c r="H9" s="33">
        <v>19.600000000000001</v>
      </c>
      <c r="I9" s="35">
        <v>19.64</v>
      </c>
      <c r="J9" s="30">
        <f t="shared" si="3"/>
        <v>19.66</v>
      </c>
      <c r="K9" s="38">
        <f t="shared" si="0"/>
        <v>0.33999999999999986</v>
      </c>
      <c r="L9" s="33">
        <v>27.27</v>
      </c>
      <c r="M9" s="33">
        <v>27.36</v>
      </c>
      <c r="N9" s="36">
        <f t="shared" si="1"/>
        <v>27.314999999999998</v>
      </c>
      <c r="O9" s="30">
        <f t="shared" si="2"/>
        <v>0.96500000000000341</v>
      </c>
    </row>
    <row r="10" spans="1:15" x14ac:dyDescent="0.3">
      <c r="A10" s="39">
        <v>6</v>
      </c>
      <c r="B10" s="29">
        <v>0.16</v>
      </c>
      <c r="C10" s="29">
        <v>30</v>
      </c>
      <c r="D10" s="29">
        <v>30</v>
      </c>
      <c r="E10" s="34">
        <v>100</v>
      </c>
      <c r="F10" s="33">
        <v>19.86</v>
      </c>
      <c r="G10" s="33">
        <v>19.899999999999999</v>
      </c>
      <c r="H10" s="33">
        <v>19.86</v>
      </c>
      <c r="I10" s="35">
        <v>19.78</v>
      </c>
      <c r="J10" s="30">
        <f t="shared" si="3"/>
        <v>19.850000000000001</v>
      </c>
      <c r="K10" s="38">
        <f t="shared" si="0"/>
        <v>0.14999999999999858</v>
      </c>
      <c r="L10" s="33">
        <v>27.27</v>
      </c>
      <c r="M10" s="33">
        <v>27.36</v>
      </c>
      <c r="N10" s="36">
        <f t="shared" si="1"/>
        <v>27.314999999999998</v>
      </c>
      <c r="O10" s="30">
        <f t="shared" si="2"/>
        <v>0.96500000000000341</v>
      </c>
    </row>
    <row r="11" spans="1:15" x14ac:dyDescent="0.3">
      <c r="A11" s="39">
        <v>7</v>
      </c>
      <c r="B11" s="29">
        <v>0.16</v>
      </c>
      <c r="C11" s="29">
        <v>45</v>
      </c>
      <c r="D11" s="29">
        <v>60</v>
      </c>
      <c r="E11" s="34">
        <v>25</v>
      </c>
      <c r="F11" s="33">
        <v>20</v>
      </c>
      <c r="G11" s="33">
        <v>20.05</v>
      </c>
      <c r="H11" s="33">
        <v>19.77</v>
      </c>
      <c r="I11" s="35">
        <v>19.87</v>
      </c>
      <c r="J11" s="30">
        <f>AVERAGE(F11:I11)</f>
        <v>19.922499999999999</v>
      </c>
      <c r="K11" s="38">
        <f t="shared" si="0"/>
        <v>7.7500000000000568E-2</v>
      </c>
      <c r="L11" s="33">
        <v>27.59</v>
      </c>
      <c r="M11" s="33">
        <v>27.51</v>
      </c>
      <c r="N11" s="36">
        <f t="shared" si="1"/>
        <v>27.55</v>
      </c>
      <c r="O11" s="30">
        <f t="shared" si="2"/>
        <v>0.73000000000000043</v>
      </c>
    </row>
    <row r="12" spans="1:15" x14ac:dyDescent="0.3">
      <c r="A12" s="39">
        <v>8</v>
      </c>
      <c r="B12" s="29">
        <v>0.16</v>
      </c>
      <c r="C12" s="29">
        <v>60</v>
      </c>
      <c r="D12" s="29">
        <v>50</v>
      </c>
      <c r="E12" s="34">
        <v>50</v>
      </c>
      <c r="F12" s="33">
        <v>19.739999999999998</v>
      </c>
      <c r="G12" s="33">
        <v>19.71</v>
      </c>
      <c r="H12" s="33">
        <v>19.829999999999998</v>
      </c>
      <c r="I12" s="35">
        <v>19.73</v>
      </c>
      <c r="J12" s="30">
        <f t="shared" si="3"/>
        <v>19.752500000000001</v>
      </c>
      <c r="K12" s="38">
        <f t="shared" si="0"/>
        <v>0.24749999999999872</v>
      </c>
      <c r="L12" s="33">
        <v>27.48</v>
      </c>
      <c r="M12" s="33">
        <v>27.5</v>
      </c>
      <c r="N12" s="36">
        <f t="shared" si="1"/>
        <v>27.490000000000002</v>
      </c>
      <c r="O12" s="30">
        <f t="shared" si="2"/>
        <v>0.78999999999999915</v>
      </c>
    </row>
    <row r="13" spans="1:15" x14ac:dyDescent="0.3">
      <c r="A13" s="39">
        <v>9</v>
      </c>
      <c r="B13" s="29">
        <v>0.25</v>
      </c>
      <c r="C13" s="29">
        <v>0</v>
      </c>
      <c r="D13" s="29">
        <v>50</v>
      </c>
      <c r="E13" s="34">
        <v>100</v>
      </c>
      <c r="F13" s="33">
        <v>19.809999999999999</v>
      </c>
      <c r="G13" s="33">
        <v>19.84</v>
      </c>
      <c r="H13" s="33">
        <v>19.86</v>
      </c>
      <c r="I13" s="35">
        <v>19.82</v>
      </c>
      <c r="J13" s="30">
        <f t="shared" si="3"/>
        <v>19.8325</v>
      </c>
      <c r="K13" s="38">
        <f t="shared" si="0"/>
        <v>0.16750000000000043</v>
      </c>
      <c r="L13" s="33">
        <v>27.4</v>
      </c>
      <c r="M13" s="33">
        <v>27.48</v>
      </c>
      <c r="N13" s="36">
        <f t="shared" si="1"/>
        <v>27.439999999999998</v>
      </c>
      <c r="O13" s="30">
        <f t="shared" si="2"/>
        <v>0.84000000000000341</v>
      </c>
    </row>
    <row r="14" spans="1:15" x14ac:dyDescent="0.3">
      <c r="A14" s="39">
        <v>10</v>
      </c>
      <c r="B14" s="29">
        <v>0.25</v>
      </c>
      <c r="C14" s="29">
        <v>30</v>
      </c>
      <c r="D14" s="29">
        <v>60</v>
      </c>
      <c r="E14" s="34">
        <v>75</v>
      </c>
      <c r="F14" s="33">
        <v>19.850000000000001</v>
      </c>
      <c r="G14" s="33">
        <v>19.920000000000002</v>
      </c>
      <c r="H14" s="33">
        <v>19.760000000000002</v>
      </c>
      <c r="I14" s="35">
        <v>19.84</v>
      </c>
      <c r="J14" s="30">
        <f t="shared" si="3"/>
        <v>19.842500000000001</v>
      </c>
      <c r="K14" s="38">
        <f t="shared" si="0"/>
        <v>0.15749999999999886</v>
      </c>
      <c r="L14" s="33">
        <v>27.35</v>
      </c>
      <c r="M14" s="33">
        <v>27.32</v>
      </c>
      <c r="N14" s="36">
        <f t="shared" si="1"/>
        <v>27.335000000000001</v>
      </c>
      <c r="O14" s="30">
        <f t="shared" si="2"/>
        <v>0.94500000000000028</v>
      </c>
    </row>
    <row r="15" spans="1:15" x14ac:dyDescent="0.3">
      <c r="A15" s="39">
        <v>11</v>
      </c>
      <c r="B15" s="29">
        <v>0.25</v>
      </c>
      <c r="C15" s="29">
        <v>45</v>
      </c>
      <c r="D15" s="29">
        <v>30</v>
      </c>
      <c r="E15" s="34">
        <v>50</v>
      </c>
      <c r="F15" s="33">
        <v>19.760000000000002</v>
      </c>
      <c r="G15" s="33">
        <v>19.7</v>
      </c>
      <c r="H15" s="33">
        <v>19.89</v>
      </c>
      <c r="I15" s="35">
        <v>19.84</v>
      </c>
      <c r="J15" s="30">
        <f t="shared" si="3"/>
        <v>19.797499999999999</v>
      </c>
      <c r="K15" s="38">
        <f t="shared" si="0"/>
        <v>0.20250000000000057</v>
      </c>
      <c r="L15" s="33">
        <v>27.35</v>
      </c>
      <c r="M15" s="33">
        <v>27.31</v>
      </c>
      <c r="N15" s="36">
        <f t="shared" si="1"/>
        <v>27.33</v>
      </c>
      <c r="O15" s="30">
        <f t="shared" si="2"/>
        <v>0.95000000000000284</v>
      </c>
    </row>
    <row r="16" spans="1:15" x14ac:dyDescent="0.3">
      <c r="A16" s="39">
        <v>12</v>
      </c>
      <c r="B16" s="29">
        <v>0.25</v>
      </c>
      <c r="C16" s="29">
        <v>60</v>
      </c>
      <c r="D16" s="29">
        <v>40</v>
      </c>
      <c r="E16" s="34">
        <v>25</v>
      </c>
      <c r="F16" s="33">
        <v>20.12</v>
      </c>
      <c r="G16" s="33">
        <v>20.13</v>
      </c>
      <c r="H16" s="33">
        <v>20</v>
      </c>
      <c r="I16" s="35">
        <v>19.91</v>
      </c>
      <c r="J16" s="30">
        <f t="shared" si="3"/>
        <v>20.04</v>
      </c>
      <c r="K16" s="38">
        <f t="shared" si="0"/>
        <v>-3.9999999999999147E-2</v>
      </c>
      <c r="L16" s="33">
        <v>27.34</v>
      </c>
      <c r="M16" s="33">
        <v>27.33</v>
      </c>
      <c r="N16" s="36">
        <f t="shared" si="1"/>
        <v>27.335000000000001</v>
      </c>
      <c r="O16" s="30">
        <f t="shared" si="2"/>
        <v>0.94500000000000028</v>
      </c>
    </row>
    <row r="17" spans="1:15" x14ac:dyDescent="0.3">
      <c r="A17" s="39">
        <v>13</v>
      </c>
      <c r="B17" s="29">
        <v>0.5</v>
      </c>
      <c r="C17" s="29">
        <v>0</v>
      </c>
      <c r="D17" s="29">
        <v>60</v>
      </c>
      <c r="E17" s="34">
        <v>50</v>
      </c>
      <c r="F17" s="33">
        <v>19.809999999999999</v>
      </c>
      <c r="G17" s="33">
        <v>19.77</v>
      </c>
      <c r="H17" s="33">
        <v>19.690000000000001</v>
      </c>
      <c r="I17" s="35">
        <v>19.850000000000001</v>
      </c>
      <c r="J17" s="30">
        <f t="shared" si="3"/>
        <v>19.78</v>
      </c>
      <c r="K17" s="38">
        <f t="shared" si="0"/>
        <v>0.21999999999999886</v>
      </c>
      <c r="L17" s="33">
        <v>27.49</v>
      </c>
      <c r="M17" s="33">
        <v>27.51</v>
      </c>
      <c r="N17" s="36">
        <f t="shared" si="1"/>
        <v>27.5</v>
      </c>
      <c r="O17" s="30">
        <f t="shared" si="2"/>
        <v>0.78000000000000114</v>
      </c>
    </row>
    <row r="18" spans="1:15" x14ac:dyDescent="0.3">
      <c r="A18" s="39">
        <v>14</v>
      </c>
      <c r="B18" s="29">
        <v>0.5</v>
      </c>
      <c r="C18" s="29">
        <v>30</v>
      </c>
      <c r="D18" s="29">
        <v>50</v>
      </c>
      <c r="E18" s="34">
        <v>25</v>
      </c>
      <c r="F18" s="33">
        <v>19.739999999999998</v>
      </c>
      <c r="G18" s="33">
        <v>19.73</v>
      </c>
      <c r="H18" s="33">
        <v>20.010000000000002</v>
      </c>
      <c r="I18" s="35">
        <v>19.850000000000001</v>
      </c>
      <c r="J18" s="30">
        <f t="shared" si="3"/>
        <v>19.832500000000003</v>
      </c>
      <c r="K18" s="38">
        <f t="shared" si="0"/>
        <v>0.16749999999999687</v>
      </c>
      <c r="L18" s="33">
        <v>27.59</v>
      </c>
      <c r="M18" s="33">
        <v>27.51</v>
      </c>
      <c r="N18" s="36">
        <f t="shared" si="1"/>
        <v>27.55</v>
      </c>
      <c r="O18" s="30">
        <f t="shared" si="2"/>
        <v>0.73000000000000043</v>
      </c>
    </row>
    <row r="19" spans="1:15" x14ac:dyDescent="0.3">
      <c r="A19" s="39">
        <v>15</v>
      </c>
      <c r="B19" s="29">
        <v>0.5</v>
      </c>
      <c r="C19" s="29">
        <v>45</v>
      </c>
      <c r="D19" s="29">
        <v>40</v>
      </c>
      <c r="E19" s="34">
        <v>100</v>
      </c>
      <c r="F19" s="33">
        <v>19.78</v>
      </c>
      <c r="G19" s="33">
        <v>19.809999999999999</v>
      </c>
      <c r="H19" s="33">
        <v>19.920000000000002</v>
      </c>
      <c r="I19" s="35">
        <v>19.940000000000001</v>
      </c>
      <c r="J19" s="30">
        <f t="shared" si="3"/>
        <v>19.862500000000001</v>
      </c>
      <c r="K19" s="38">
        <f t="shared" si="0"/>
        <v>0.13749999999999929</v>
      </c>
      <c r="L19" s="33">
        <v>27.52</v>
      </c>
      <c r="M19" s="33">
        <v>27.54</v>
      </c>
      <c r="N19" s="36">
        <f t="shared" si="1"/>
        <v>27.53</v>
      </c>
      <c r="O19" s="30">
        <f t="shared" si="2"/>
        <v>0.75</v>
      </c>
    </row>
    <row r="20" spans="1:15" x14ac:dyDescent="0.3">
      <c r="A20" s="39">
        <v>16</v>
      </c>
      <c r="B20" s="29">
        <v>0.5</v>
      </c>
      <c r="C20" s="29">
        <v>60</v>
      </c>
      <c r="D20" s="29">
        <v>30</v>
      </c>
      <c r="E20" s="34">
        <v>75</v>
      </c>
      <c r="F20" s="33">
        <v>19.8</v>
      </c>
      <c r="G20" s="33">
        <v>19.8</v>
      </c>
      <c r="H20" s="33">
        <v>19.920000000000002</v>
      </c>
      <c r="I20" s="33">
        <v>19.89</v>
      </c>
      <c r="J20" s="30">
        <f t="shared" si="3"/>
        <v>19.852499999999999</v>
      </c>
      <c r="K20" s="38">
        <f t="shared" si="0"/>
        <v>0.14750000000000085</v>
      </c>
      <c r="L20" s="33">
        <v>27.76</v>
      </c>
      <c r="M20" s="33">
        <v>27.68</v>
      </c>
      <c r="N20" s="36">
        <f t="shared" si="1"/>
        <v>27.72</v>
      </c>
      <c r="O20" s="30">
        <f t="shared" si="2"/>
        <v>0.56000000000000227</v>
      </c>
    </row>
  </sheetData>
  <mergeCells count="5">
    <mergeCell ref="F3:J3"/>
    <mergeCell ref="L3:N3"/>
    <mergeCell ref="A3:A4"/>
    <mergeCell ref="K3:K4"/>
    <mergeCell ref="O3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 Parameters</vt:lpstr>
      <vt:lpstr>Surface Roughness</vt:lpstr>
      <vt:lpstr>Shore Hardness</vt:lpstr>
      <vt:lpstr>Dimensional 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2026-06-08T10:15:56Z</dcterms:modified>
</cp:coreProperties>
</file>